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はじめに" sheetId="1" state="visible" r:id="rId3"/>
    <sheet name="01_入力" sheetId="2" state="visible" r:id="rId4"/>
    <sheet name="02_物性" sheetId="3" state="visible" r:id="rId5"/>
    <sheet name="03_湿度状態点" sheetId="4" state="visible" r:id="rId6"/>
    <sheet name="04_流量切替" sheetId="5" state="visible" r:id="rId7"/>
    <sheet name="05_圧力安定" sheetId="6" state="visible" r:id="rId8"/>
    <sheet name="06_熱水収支" sheetId="7" state="visible" r:id="rId9"/>
    <sheet name="07_配管" sheetId="8" state="visible" r:id="rId10"/>
    <sheet name="08_安全" sheetId="9" state="visible" r:id="rId11"/>
    <sheet name="09_感度解析" sheetId="10" state="visible" r:id="rId12"/>
    <sheet name="10_検証" sheetId="11" state="visible" r:id="rId13"/>
    <sheet name="11_文献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<sst xmlns="http://schemas.openxmlformats.org/spreadsheetml/2006/main" count="911" uniqueCount="693">
  <si>
    <r>
      <rPr>
        <b val="true"/>
        <sz val="14"/>
        <color rgb="FF1F3864"/>
        <rFont val="WenQuanYi Zen Hei"/>
        <family val="2"/>
      </rPr>
      <t xml:space="preserve">加湿</t>
    </r>
    <r>
      <rPr>
        <b val="true"/>
        <sz val="14"/>
        <color rgb="FF1F3864"/>
        <rFont val="Arial"/>
        <family val="0"/>
        <charset val="1"/>
      </rPr>
      <t xml:space="preserve">CO2 </t>
    </r>
    <r>
      <rPr>
        <b val="true"/>
        <sz val="14"/>
        <color rgb="FF1F3864"/>
        <rFont val="WenQuanYi Zen Hei"/>
        <family val="2"/>
      </rPr>
      <t xml:space="preserve">高速流量切替供給系 — 設計計算書</t>
    </r>
  </si>
  <si>
    <t xml:space="preserve">Humidified-CO2 supply system with 30 ms flow switching — parametric design workbook</t>
  </si>
  <si>
    <t xml:space="preserve">要求仕様</t>
  </si>
  <si>
    <r>
      <rPr>
        <sz val="10"/>
        <rFont val="WenQuanYi Zen Hei"/>
        <family val="2"/>
      </rPr>
      <t xml:space="preserve">出力段</t>
    </r>
    <r>
      <rPr>
        <sz val="10"/>
        <rFont val="Arial"/>
        <family val="0"/>
        <charset val="1"/>
      </rPr>
      <t xml:space="preserve">: CO2 </t>
    </r>
    <r>
      <rPr>
        <sz val="10"/>
        <rFont val="WenQuanYi Zen Hei"/>
        <family val="2"/>
      </rPr>
      <t xml:space="preserve">ガス圧 </t>
    </r>
    <r>
      <rPr>
        <sz val="10"/>
        <rFont val="Arial"/>
        <family val="0"/>
        <charset val="1"/>
      </rPr>
      <t xml:space="preserve">20 kPa</t>
    </r>
    <r>
      <rPr>
        <sz val="10"/>
        <rFont val="WenQuanYi Zen Hei"/>
        <family val="2"/>
      </rPr>
      <t xml:space="preserve">（ゲージ）、温度 </t>
    </r>
    <r>
      <rPr>
        <sz val="10"/>
        <rFont val="Arial"/>
        <family val="0"/>
        <charset val="1"/>
      </rPr>
      <t xml:space="preserve">20 °C</t>
    </r>
    <r>
      <rPr>
        <sz val="10"/>
        <rFont val="WenQuanYi Zen Hei"/>
        <family val="2"/>
      </rPr>
      <t xml:space="preserve">、相対湿度 </t>
    </r>
    <r>
      <rPr>
        <sz val="10"/>
        <rFont val="Arial"/>
        <family val="0"/>
        <charset val="1"/>
      </rPr>
      <t xml:space="preserve">70 %</t>
    </r>
  </si>
  <si>
    <r>
      <rPr>
        <sz val="10"/>
        <rFont val="WenQuanYi Zen Hei"/>
        <family val="2"/>
      </rPr>
      <t xml:space="preserve">流量</t>
    </r>
    <r>
      <rPr>
        <sz val="10"/>
        <rFont val="Arial"/>
        <family val="0"/>
        <charset val="1"/>
      </rPr>
      <t xml:space="preserve">: 30 NLPM </t>
    </r>
    <r>
      <rPr>
        <sz val="10"/>
        <rFont val="WenQuanYi Zen Hei"/>
        <family val="2"/>
      </rPr>
      <t xml:space="preserve">と </t>
    </r>
    <r>
      <rPr>
        <sz val="10"/>
        <rFont val="Arial"/>
        <family val="0"/>
        <charset val="1"/>
      </rPr>
      <t xml:space="preserve">15 NLPM </t>
    </r>
    <r>
      <rPr>
        <sz val="10"/>
        <rFont val="WenQuanYi Zen Hei"/>
        <family val="2"/>
      </rPr>
      <t xml:space="preserve">を </t>
    </r>
    <r>
      <rPr>
        <sz val="10"/>
        <rFont val="Arial"/>
        <family val="0"/>
        <charset val="1"/>
      </rPr>
      <t xml:space="preserve">30 ms </t>
    </r>
    <r>
      <rPr>
        <sz val="10"/>
        <rFont val="WenQuanYi Zen Hei"/>
        <family val="2"/>
      </rPr>
      <t xml:space="preserve">ごとに交互に連続切替</t>
    </r>
  </si>
  <si>
    <r>
      <rPr>
        <sz val="10"/>
        <rFont val="WenQuanYi Zen Hei"/>
        <family val="2"/>
      </rPr>
      <t xml:space="preserve">ガス源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相対湿度 約 </t>
    </r>
    <r>
      <rPr>
        <sz val="10"/>
        <rFont val="Arial"/>
        <family val="0"/>
        <charset val="1"/>
      </rPr>
      <t xml:space="preserve">90 % </t>
    </r>
    <r>
      <rPr>
        <sz val="10"/>
        <rFont val="WenQuanYi Zen Hei"/>
        <family val="2"/>
      </rPr>
      <t xml:space="preserve">の </t>
    </r>
    <r>
      <rPr>
        <sz val="10"/>
        <rFont val="Arial"/>
        <family val="0"/>
        <charset val="1"/>
      </rPr>
      <t xml:space="preserve">CO2</t>
    </r>
  </si>
  <si>
    <t xml:space="preserve">使い方</t>
  </si>
  <si>
    <r>
      <rPr>
        <sz val="10"/>
        <rFont val="WenQuanYi Zen Hei"/>
        <family val="2"/>
      </rPr>
      <t xml:space="preserve">① シート『</t>
    </r>
    <r>
      <rPr>
        <sz val="10"/>
        <rFont val="Arial"/>
        <family val="0"/>
        <charset val="1"/>
      </rPr>
      <t xml:space="preserve">01_</t>
    </r>
    <r>
      <rPr>
        <sz val="10"/>
        <rFont val="WenQuanYi Zen Hei"/>
        <family val="2"/>
      </rPr>
      <t xml:space="preserve">入力』の黄色セル（青字）だけを編集する。他は全て数式で連動する。</t>
    </r>
  </si>
  <si>
    <r>
      <rPr>
        <sz val="10"/>
        <rFont val="WenQuanYi Zen Hei"/>
        <family val="2"/>
      </rPr>
      <t xml:space="preserve">② シート『</t>
    </r>
    <r>
      <rPr>
        <sz val="10"/>
        <rFont val="Arial"/>
        <family val="0"/>
        <charset val="1"/>
      </rPr>
      <t xml:space="preserve">03_</t>
    </r>
    <r>
      <rPr>
        <sz val="10"/>
        <rFont val="WenQuanYi Zen Hei"/>
        <family val="2"/>
      </rPr>
      <t xml:space="preserve">湿度状態点』の下部に出る『★必要飽和器温度 </t>
    </r>
    <r>
      <rPr>
        <sz val="10"/>
        <rFont val="Arial"/>
        <family val="0"/>
        <charset val="1"/>
      </rPr>
      <t xml:space="preserve">T_sat</t>
    </r>
    <r>
      <rPr>
        <sz val="10"/>
        <rFont val="WenQuanYi Zen Hei"/>
        <family val="2"/>
      </rPr>
      <t xml:space="preserve">』を読み、</t>
    </r>
    <r>
      <rPr>
        <sz val="10"/>
        <rFont val="Arial"/>
        <family val="0"/>
        <charset val="1"/>
      </rPr>
      <t xml:space="preserve">01_</t>
    </r>
    <r>
      <rPr>
        <sz val="10"/>
        <rFont val="WenQuanYi Zen Hei"/>
        <family val="2"/>
      </rPr>
      <t xml:space="preserve">入力 の『飽和器出口温度』に入れ戻す。</t>
    </r>
  </si>
  <si>
    <r>
      <rPr>
        <sz val="10"/>
        <rFont val="WenQuanYi Zen Hei"/>
        <family val="2"/>
      </rPr>
      <t xml:space="preserve">③ 同シート最下行『</t>
    </r>
    <r>
      <rPr>
        <sz val="10"/>
        <rFont val="Arial"/>
        <family val="0"/>
        <charset val="1"/>
      </rPr>
      <t xml:space="preserve">S4 </t>
    </r>
    <r>
      <rPr>
        <sz val="10"/>
        <rFont val="WenQuanYi Zen Hei"/>
        <family val="2"/>
      </rPr>
      <t xml:space="preserve">で達成される </t>
    </r>
    <r>
      <rPr>
        <sz val="10"/>
        <rFont val="Arial"/>
        <family val="0"/>
        <charset val="1"/>
      </rPr>
      <t xml:space="preserve">RH </t>
    </r>
    <r>
      <rPr>
        <sz val="10"/>
        <rFont val="WenQuanYi Zen Hei"/>
        <family val="2"/>
      </rPr>
      <t xml:space="preserve">と目標との差』が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になれば整合が取れている。</t>
    </r>
  </si>
  <si>
    <r>
      <rPr>
        <sz val="10"/>
        <rFont val="Arial"/>
        <family val="0"/>
        <charset val="1"/>
      </rPr>
      <t xml:space="preserve">④ 04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08 </t>
    </r>
    <r>
      <rPr>
        <sz val="10"/>
        <rFont val="WenQuanYi Zen Hei"/>
        <family val="2"/>
      </rPr>
      <t xml:space="preserve">の各シートでハードウェア寸法・熱量・安全条件が自動計算される。</t>
    </r>
  </si>
  <si>
    <r>
      <rPr>
        <sz val="10"/>
        <rFont val="WenQuanYi Zen Hei"/>
        <family val="2"/>
      </rPr>
      <t xml:space="preserve">⑤ 『</t>
    </r>
    <r>
      <rPr>
        <sz val="10"/>
        <rFont val="Arial"/>
        <family val="0"/>
        <charset val="1"/>
      </rPr>
      <t xml:space="preserve">10_</t>
    </r>
    <r>
      <rPr>
        <sz val="10"/>
        <rFont val="WenQuanYi Zen Hei"/>
        <family val="2"/>
      </rPr>
      <t xml:space="preserve">検証』が全項目合格であることを確認してから結果を使うこと。</t>
    </r>
  </si>
  <si>
    <t xml:space="preserve">設計の結論（既定値での要点）</t>
  </si>
  <si>
    <r>
      <rPr>
        <sz val="10"/>
        <rFont val="WenQuanYi Zen Hei"/>
        <family val="2"/>
      </rPr>
      <t xml:space="preserve">・出力段の水蒸気モル分率 </t>
    </r>
    <r>
      <rPr>
        <sz val="10"/>
        <rFont val="Arial"/>
        <family val="0"/>
        <charset val="1"/>
      </rPr>
      <t xml:space="preserve">x_v = 1.374 mol%</t>
    </r>
    <r>
      <rPr>
        <sz val="10"/>
        <rFont val="WenQuanYi Zen Hei"/>
        <family val="2"/>
      </rPr>
      <t xml:space="preserve">、露点 </t>
    </r>
    <r>
      <rPr>
        <sz val="10"/>
        <rFont val="Arial"/>
        <family val="0"/>
        <charset val="1"/>
      </rPr>
      <t xml:space="preserve">14.37 °C</t>
    </r>
    <r>
      <rPr>
        <sz val="10"/>
        <rFont val="WenQuanYi Zen Hei"/>
        <family val="2"/>
      </rPr>
      <t xml:space="preserve">、結露余裕は </t>
    </r>
    <r>
      <rPr>
        <sz val="10"/>
        <rFont val="Arial"/>
        <family val="0"/>
        <charset val="1"/>
      </rPr>
      <t xml:space="preserve">5.63 K </t>
    </r>
    <r>
      <rPr>
        <sz val="10"/>
        <rFont val="WenQuanYi Zen Hei"/>
        <family val="2"/>
      </rPr>
      <t xml:space="preserve">しかない。</t>
    </r>
  </si>
  <si>
    <r>
      <rPr>
        <sz val="10"/>
        <rFont val="WenQuanYi Zen Hei"/>
        <family val="2"/>
      </rPr>
      <t xml:space="preserve">・構成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一次プレナム</t>
    </r>
    <r>
      <rPr>
        <sz val="10"/>
        <rFont val="Arial"/>
        <family val="0"/>
        <charset val="1"/>
      </rPr>
      <t xml:space="preserve">(300 kPa abs, </t>
    </r>
    <r>
      <rPr>
        <sz val="10"/>
        <rFont val="WenQuanYi Zen Hei"/>
        <family val="2"/>
      </rPr>
      <t xml:space="preserve">約</t>
    </r>
    <r>
      <rPr>
        <sz val="10"/>
        <rFont val="Arial"/>
        <family val="0"/>
        <charset val="1"/>
      </rPr>
      <t xml:space="preserve">31 °C) → </t>
    </r>
    <r>
      <rPr>
        <sz val="10"/>
        <rFont val="WenQuanYi Zen Hei"/>
        <family val="2"/>
      </rPr>
      <t xml:space="preserve">臨界ノズル </t>
    </r>
    <r>
      <rPr>
        <sz val="10"/>
        <rFont val="Arial"/>
        <family val="0"/>
        <charset val="1"/>
      </rPr>
      <t xml:space="preserve">A(</t>
    </r>
    <r>
      <rPr>
        <sz val="10"/>
        <rFont val="WenQuanYi Zen Hei"/>
        <family val="2"/>
      </rPr>
      <t xml:space="preserve">常時 </t>
    </r>
    <r>
      <rPr>
        <sz val="10"/>
        <rFont val="Arial"/>
        <family val="0"/>
        <charset val="1"/>
      </rPr>
      <t xml:space="preserve">15 NLPM) ∥ </t>
    </r>
    <r>
      <rPr>
        <sz val="10"/>
        <rFont val="WenQuanYi Zen Hei"/>
        <family val="2"/>
      </rPr>
      <t xml:space="preserve">ノズル </t>
    </r>
    <r>
      <rPr>
        <sz val="10"/>
        <rFont val="Arial"/>
        <family val="0"/>
        <charset val="1"/>
      </rPr>
      <t xml:space="preserve">B(+15 NLPM, </t>
    </r>
    <r>
      <rPr>
        <sz val="10"/>
        <rFont val="WenQuanYi Zen Hei"/>
        <family val="2"/>
      </rPr>
      <t xml:space="preserve">高速弁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出力プレナム</t>
    </r>
    <r>
      <rPr>
        <sz val="10"/>
        <rFont val="Arial"/>
        <family val="0"/>
        <charset val="1"/>
      </rPr>
      <t xml:space="preserve">(20 °C) → </t>
    </r>
    <r>
      <rPr>
        <sz val="10"/>
        <rFont val="WenQuanYi Zen Hei"/>
        <family val="2"/>
      </rPr>
      <t xml:space="preserve">同期切替排気オリフィス。</t>
    </r>
  </si>
  <si>
    <r>
      <rPr>
        <sz val="10"/>
        <rFont val="WenQuanYi Zen Hei"/>
        <family val="2"/>
      </rPr>
      <t xml:space="preserve">・ノズルのど径は約 </t>
    </r>
    <r>
      <rPr>
        <sz val="10"/>
        <rFont val="Arial"/>
        <family val="0"/>
        <charset val="1"/>
      </rPr>
      <t xml:space="preserve">0.86 mm × 2 </t>
    </r>
    <r>
      <rPr>
        <sz val="10"/>
        <rFont val="WenQuanYi Zen Hei"/>
        <family val="2"/>
      </rPr>
      <t xml:space="preserve">本。背圧比 </t>
    </r>
    <r>
      <rPr>
        <sz val="10"/>
        <rFont val="Arial"/>
        <family val="0"/>
        <charset val="1"/>
      </rPr>
      <t xml:space="preserve">0.404 </t>
    </r>
    <r>
      <rPr>
        <sz val="10"/>
        <rFont val="WenQuanYi Zen Hei"/>
        <family val="2"/>
      </rPr>
      <t xml:space="preserve">で十分にチョークしている。</t>
    </r>
  </si>
  <si>
    <r>
      <rPr>
        <sz val="10"/>
        <rFont val="WenQuanYi Zen Hei"/>
        <family val="2"/>
      </rPr>
      <t xml:space="preserve">・切替素子はサーマル </t>
    </r>
    <r>
      <rPr>
        <sz val="10"/>
        <rFont val="Arial"/>
        <family val="0"/>
        <charset val="1"/>
      </rPr>
      <t xml:space="preserve">MFC </t>
    </r>
    <r>
      <rPr>
        <sz val="10"/>
        <rFont val="WenQuanYi Zen Hei"/>
        <family val="2"/>
      </rPr>
      <t xml:space="preserve">では不可能（最速 </t>
    </r>
    <r>
      <rPr>
        <sz val="10"/>
        <rFont val="Arial"/>
        <family val="0"/>
        <charset val="1"/>
      </rPr>
      <t xml:space="preserve">300 ms = </t>
    </r>
    <r>
      <rPr>
        <sz val="10"/>
        <rFont val="WenQuanYi Zen Hei"/>
        <family val="2"/>
      </rPr>
      <t xml:space="preserve">周期の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倍）。高速電磁弁（</t>
    </r>
    <r>
      <rPr>
        <sz val="10"/>
        <rFont val="Arial"/>
        <family val="0"/>
        <charset val="1"/>
      </rPr>
      <t xml:space="preserve">SMC SX10 / Festo MHJ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&lt;1 ms</t>
    </r>
    <r>
      <rPr>
        <sz val="10"/>
        <rFont val="WenQuanYi Zen Hei"/>
        <family val="2"/>
      </rPr>
      <t xml:space="preserve">）を使う。</t>
    </r>
  </si>
  <si>
    <r>
      <rPr>
        <sz val="10"/>
        <rFont val="WenQuanYi Zen Hei"/>
        <family val="2"/>
      </rPr>
      <t xml:space="preserve">・『圧力を静かにすること』と『</t>
    </r>
    <r>
      <rPr>
        <sz val="10"/>
        <rFont val="Arial"/>
        <family val="0"/>
        <charset val="1"/>
      </rPr>
      <t xml:space="preserve">30 ms </t>
    </r>
    <r>
      <rPr>
        <sz val="10"/>
        <rFont val="WenQuanYi Zen Hei"/>
        <family val="2"/>
      </rPr>
      <t xml:space="preserve">の流量変調を保つこと』は同じ容積では両立しない。排気側を入口と同期して切り替えることで初めて両立する。</t>
    </r>
  </si>
  <si>
    <r>
      <rPr>
        <sz val="10"/>
        <rFont val="WenQuanYi Zen Hei"/>
        <family val="2"/>
      </rPr>
      <t xml:space="preserve">・最も厳しい制約は温度</t>
    </r>
    <r>
      <rPr>
        <sz val="10"/>
        <rFont val="Arial"/>
        <family val="0"/>
        <charset val="1"/>
      </rPr>
      <t xml:space="preserve">: dRH/dT = −4.32 %RH/K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±1 %RH </t>
    </r>
    <r>
      <rPr>
        <sz val="10"/>
        <rFont val="WenQuanYi Zen Hei"/>
        <family val="2"/>
      </rPr>
      <t xml:space="preserve">を守るには出力段温度を </t>
    </r>
    <r>
      <rPr>
        <sz val="10"/>
        <rFont val="Arial"/>
        <family val="0"/>
        <charset val="1"/>
      </rPr>
      <t xml:space="preserve">±0.23 K </t>
    </r>
    <r>
      <rPr>
        <sz val="10"/>
        <rFont val="WenQuanYi Zen Hei"/>
        <family val="2"/>
      </rPr>
      <t xml:space="preserve">に制御する必要がある。</t>
    </r>
  </si>
  <si>
    <t xml:space="preserve">本計算書の特徴（学会発表を意識した点）</t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</si>
  <si>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を理想気体として扱わない。</t>
    </r>
    <r>
      <rPr>
        <sz val="10"/>
        <rFont val="Arial"/>
        <family val="0"/>
        <charset val="1"/>
      </rPr>
      <t xml:space="preserve">Z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cp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γ</t>
    </r>
    <r>
      <rPr>
        <sz val="10"/>
        <rFont val="WenQuanYi Zen Hei"/>
        <family val="2"/>
      </rPr>
      <t xml:space="preserve">、音速はすべて第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ビリアル展開で実在気体として評価（</t>
    </r>
    <r>
      <rPr>
        <sz val="10"/>
        <rFont val="Arial"/>
        <family val="0"/>
        <charset val="1"/>
      </rPr>
      <t xml:space="preserve">Span–Wagner </t>
    </r>
    <r>
      <rPr>
        <sz val="10"/>
        <rFont val="WenQuanYi Zen Hei"/>
        <family val="2"/>
      </rPr>
      <t xml:space="preserve">に対し </t>
    </r>
    <r>
      <rPr>
        <sz val="10"/>
        <rFont val="Arial"/>
        <family val="0"/>
        <charset val="1"/>
      </rPr>
      <t xml:space="preserve">0.2 % </t>
    </r>
    <r>
      <rPr>
        <sz val="10"/>
        <rFont val="WenQuanYi Zen Hei"/>
        <family val="2"/>
      </rPr>
      <t xml:space="preserve">以内）。</t>
    </r>
  </si>
  <si>
    <r>
      <rPr>
        <sz val="10"/>
        <rFont val="WenQuanYi Zen Hei"/>
        <family val="2"/>
      </rPr>
      <t xml:space="preserve">・湿度は 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キャリア用のエンハンスメント係数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で評価している。空気用の </t>
    </r>
    <r>
      <rPr>
        <sz val="10"/>
        <rFont val="Arial"/>
        <family val="0"/>
        <charset val="1"/>
      </rPr>
      <t xml:space="preserve">Greenspan/CIPM </t>
    </r>
    <r>
      <rPr>
        <sz val="10"/>
        <rFont val="WenQuanYi Zen Hei"/>
        <family val="2"/>
      </rPr>
      <t xml:space="preserve">式は 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には使えず、</t>
    </r>
  </si>
  <si>
    <r>
      <rPr>
        <sz val="10"/>
        <rFont val="WenQuanYi Zen Hei"/>
        <family val="2"/>
      </rPr>
      <t xml:space="preserve">　そのまま使うと </t>
    </r>
    <r>
      <rPr>
        <sz val="10"/>
        <rFont val="Arial"/>
        <family val="0"/>
        <charset val="1"/>
      </rPr>
      <t xml:space="preserve">RH </t>
    </r>
    <r>
      <rPr>
        <sz val="10"/>
        <rFont val="WenQuanYi Zen Hei"/>
        <family val="2"/>
      </rPr>
      <t xml:space="preserve">を </t>
    </r>
    <r>
      <rPr>
        <sz val="10"/>
        <rFont val="Arial"/>
        <family val="0"/>
        <charset val="1"/>
      </rPr>
      <t xml:space="preserve">0.93 %RH </t>
    </r>
    <r>
      <rPr>
        <sz val="10"/>
        <rFont val="WenQuanYi Zen Hei"/>
        <family val="2"/>
      </rPr>
      <t xml:space="preserve">過大評価する。</t>
    </r>
    <r>
      <rPr>
        <sz val="10"/>
        <rFont val="Arial"/>
        <family val="0"/>
        <charset val="1"/>
      </rPr>
      <t xml:space="preserve">f_CO2 = 1.018 </t>
    </r>
    <r>
      <rPr>
        <sz val="10"/>
        <rFont val="WenQuanYi Zen Hei"/>
        <family val="2"/>
      </rPr>
      <t xml:space="preserve">に対し </t>
    </r>
    <r>
      <rPr>
        <sz val="10"/>
        <rFont val="Arial"/>
        <family val="0"/>
        <charset val="1"/>
      </rPr>
      <t xml:space="preserve">f_air = 1.005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121.3 kPa, 20 °C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</si>
  <si>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は交差ビリアル係数 </t>
    </r>
    <r>
      <rPr>
        <sz val="10"/>
        <rFont val="Arial"/>
        <family val="0"/>
        <charset val="1"/>
      </rPr>
      <t xml:space="preserve">B12(H2O–CO2) = −235.5 cm³/mol </t>
    </r>
    <r>
      <rPr>
        <sz val="10"/>
        <rFont val="WenQuanYi Zen Hei"/>
        <family val="2"/>
      </rPr>
      <t xml:space="preserve">と、溶存</t>
    </r>
    <r>
      <rPr>
        <sz val="10"/>
        <rFont val="Arial"/>
        <family val="0"/>
        <charset val="1"/>
      </rPr>
      <t xml:space="preserve">CO2</t>
    </r>
    <r>
      <rPr>
        <sz val="10"/>
        <rFont val="WenQuanYi Zen Hei"/>
        <family val="2"/>
      </rPr>
      <t xml:space="preserve">による水の活量低下（</t>
    </r>
    <r>
      <rPr>
        <sz val="10"/>
        <rFont val="Arial"/>
        <family val="0"/>
        <charset val="1"/>
      </rPr>
      <t xml:space="preserve">IAPWS G7-04</t>
    </r>
    <r>
      <rPr>
        <sz val="10"/>
        <rFont val="WenQuanYi Zen Hei"/>
        <family val="2"/>
      </rPr>
      <t xml:space="preserve">）から組み立てている。</t>
    </r>
  </si>
  <si>
    <r>
      <rPr>
        <sz val="10"/>
        <rFont val="WenQuanYi Zen Hei"/>
        <family val="2"/>
      </rPr>
      <t xml:space="preserve">・同じ式に空気の </t>
    </r>
    <r>
      <rPr>
        <sz val="10"/>
        <rFont val="Arial"/>
        <family val="0"/>
        <charset val="1"/>
      </rPr>
      <t xml:space="preserve">B_aw </t>
    </r>
    <r>
      <rPr>
        <sz val="10"/>
        <rFont val="WenQuanYi Zen Hei"/>
        <family val="2"/>
      </rPr>
      <t xml:space="preserve">を入れると </t>
    </r>
    <r>
      <rPr>
        <sz val="10"/>
        <rFont val="Arial"/>
        <family val="0"/>
        <charset val="1"/>
      </rPr>
      <t xml:space="preserve">CIPM-2007 </t>
    </r>
    <r>
      <rPr>
        <sz val="10"/>
        <rFont val="WenQuanYi Zen Hei"/>
        <family val="2"/>
      </rPr>
      <t xml:space="preserve">を </t>
    </r>
    <r>
      <rPr>
        <sz val="10"/>
        <rFont val="Arial"/>
        <family val="0"/>
        <charset val="1"/>
      </rPr>
      <t xml:space="preserve">394 ppm </t>
    </r>
    <r>
      <rPr>
        <sz val="10"/>
        <rFont val="WenQuanYi Zen Hei"/>
        <family val="2"/>
      </rPr>
      <t xml:space="preserve">以内で再現する（</t>
    </r>
    <r>
      <rPr>
        <sz val="10"/>
        <rFont val="Arial"/>
        <family val="0"/>
        <charset val="1"/>
      </rPr>
      <t xml:space="preserve">B_aw = −32.0 cm³/mol </t>
    </r>
    <r>
      <rPr>
        <sz val="10"/>
        <rFont val="WenQuanYi Zen Hei"/>
        <family val="2"/>
      </rPr>
      <t xml:space="preserve">は文献値 −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〜−</t>
    </r>
    <r>
      <rPr>
        <sz val="10"/>
        <rFont val="Arial"/>
        <family val="0"/>
        <charset val="1"/>
      </rPr>
      <t xml:space="preserve">34 </t>
    </r>
    <r>
      <rPr>
        <sz val="10"/>
        <rFont val="WenQuanYi Zen Hei"/>
        <family val="2"/>
      </rPr>
      <t xml:space="preserve">の範囲内）。</t>
    </r>
  </si>
  <si>
    <r>
      <rPr>
        <sz val="10"/>
        <rFont val="WenQuanYi Zen Hei"/>
        <family val="2"/>
      </rPr>
      <t xml:space="preserve">　これが 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への外挿を正当化する検証である。残差は第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ビリアル項に由来し、これが本手法の精度の下限を与える。</t>
    </r>
  </si>
  <si>
    <r>
      <rPr>
        <sz val="10"/>
        <rFont val="WenQuanYi Zen Hei"/>
        <family val="2"/>
      </rPr>
      <t xml:space="preserve">・混合比には </t>
    </r>
    <r>
      <rPr>
        <sz val="10"/>
        <rFont val="Arial"/>
        <family val="0"/>
        <charset val="1"/>
      </rPr>
      <t xml:space="preserve">ε_CO2 = 0.40935 </t>
    </r>
    <r>
      <rPr>
        <sz val="10"/>
        <rFont val="WenQuanYi Zen Hei"/>
        <family val="2"/>
      </rPr>
      <t xml:space="preserve">を使用。空気の </t>
    </r>
    <r>
      <rPr>
        <sz val="10"/>
        <rFont val="Arial"/>
        <family val="0"/>
        <charset val="1"/>
      </rPr>
      <t xml:space="preserve">0.622 </t>
    </r>
    <r>
      <rPr>
        <sz val="10"/>
        <rFont val="WenQuanYi Zen Hei"/>
        <family val="2"/>
      </rPr>
      <t xml:space="preserve">を使うと </t>
    </r>
    <r>
      <rPr>
        <sz val="10"/>
        <rFont val="Arial"/>
        <family val="0"/>
        <charset val="1"/>
      </rPr>
      <t xml:space="preserve">+51.9 % </t>
    </r>
    <r>
      <rPr>
        <sz val="10"/>
        <rFont val="WenQuanYi Zen Hei"/>
        <family val="2"/>
      </rPr>
      <t xml:space="preserve">の誤りになる。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</si>
  <si>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NLPM </t>
    </r>
    <r>
      <rPr>
        <sz val="10"/>
        <rFont val="WenQuanYi Zen Hei"/>
        <family val="2"/>
      </rPr>
      <t xml:space="preserve">の基準条件を明示（</t>
    </r>
    <r>
      <rPr>
        <sz val="10"/>
        <rFont val="Arial"/>
        <family val="0"/>
        <charset val="1"/>
      </rPr>
      <t xml:space="preserve">DIN 1343, 0 °C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20 °C </t>
    </r>
    <r>
      <rPr>
        <sz val="10"/>
        <rFont val="WenQuanYi Zen Hei"/>
        <family val="2"/>
      </rPr>
      <t xml:space="preserve">基準との差は </t>
    </r>
    <r>
      <rPr>
        <sz val="10"/>
        <rFont val="Arial"/>
        <family val="0"/>
        <charset val="1"/>
      </rPr>
      <t xml:space="preserve">7.32 % </t>
    </r>
    <r>
      <rPr>
        <sz val="10"/>
        <rFont val="WenQuanYi Zen Hei"/>
        <family val="2"/>
      </rPr>
      <t xml:space="preserve">で、良質なノズルの不確かさ </t>
    </r>
    <r>
      <rPr>
        <sz val="10"/>
        <rFont val="Arial"/>
        <family val="0"/>
        <charset val="1"/>
      </rPr>
      <t xml:space="preserve">0.2 % </t>
    </r>
    <r>
      <rPr>
        <sz val="10"/>
        <rFont val="WenQuanYi Zen Hei"/>
        <family val="2"/>
      </rPr>
      <t xml:space="preserve">の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倍にあたる。</t>
    </r>
  </si>
  <si>
    <t xml:space="preserve">既知の限界（投稿前に確認すべき事項）</t>
  </si>
  <si>
    <r>
      <rPr>
        <sz val="10"/>
        <rFont val="WenQuanYi Zen Hei"/>
        <family val="2"/>
      </rPr>
      <t xml:space="preserve">・本セッションでは外部サイトへの直接アクセス（</t>
    </r>
    <r>
      <rPr>
        <sz val="10"/>
        <rFont val="Arial"/>
        <family val="0"/>
        <charset val="1"/>
      </rPr>
      <t xml:space="preserve">WebFetch</t>
    </r>
    <r>
      <rPr>
        <sz val="10"/>
        <rFont val="WenQuanYi Zen Hei"/>
        <family val="2"/>
      </rPr>
      <t xml:space="preserve">）が遮断されていた。参照値は同じ基準相関を実装する </t>
    </r>
    <r>
      <rPr>
        <sz val="10"/>
        <rFont val="Arial"/>
        <family val="0"/>
        <charset val="1"/>
      </rPr>
      <t xml:space="preserve">CoolProp 8.0.0 </t>
    </r>
    <r>
      <rPr>
        <sz val="10"/>
        <rFont val="WenQuanYi Zen Hei"/>
        <family val="2"/>
      </rPr>
      <t xml:space="preserve">を</t>
    </r>
  </si>
  <si>
    <r>
      <rPr>
        <sz val="10"/>
        <rFont val="WenQuanYi Zen Hei"/>
        <family val="2"/>
      </rPr>
      <t xml:space="preserve">　ローカル実行して生成し、文献の書誌情報は検索で確認した。投稿前に </t>
    </r>
    <r>
      <rPr>
        <sz val="10"/>
        <rFont val="Arial"/>
        <family val="0"/>
        <charset val="1"/>
      </rPr>
      <t xml:space="preserve">NIST Webbook / REFPROP </t>
    </r>
    <r>
      <rPr>
        <sz val="10"/>
        <rFont val="WenQuanYi Zen Hei"/>
        <family val="2"/>
      </rPr>
      <t xml:space="preserve">で表を再生成して引用すること。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</si>
  <si>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B12(H2O–CO2) </t>
    </r>
    <r>
      <rPr>
        <sz val="10"/>
        <rFont val="WenQuanYi Zen Hei"/>
        <family val="2"/>
      </rPr>
      <t xml:space="preserve">は </t>
    </r>
    <r>
      <rPr>
        <sz val="10"/>
        <rFont val="Arial"/>
        <family val="0"/>
        <charset val="1"/>
      </rPr>
      <t xml:space="preserve">Meyer &amp; Harvey (2015) </t>
    </r>
    <r>
      <rPr>
        <sz val="10"/>
        <rFont val="WenQuanYi Zen Hei"/>
        <family val="2"/>
      </rPr>
      <t xml:space="preserve">と </t>
    </r>
    <r>
      <rPr>
        <sz val="10"/>
        <rFont val="Arial"/>
        <family val="0"/>
        <charset val="1"/>
      </rPr>
      <t xml:space="preserve">Wheatley &amp; Harvey (2016 </t>
    </r>
    <r>
      <rPr>
        <sz val="10"/>
        <rFont val="WenQuanYi Zen Hei"/>
        <family val="2"/>
      </rPr>
      <t xml:space="preserve">正誤表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の原著値で置き換えること。</t>
    </r>
  </si>
  <si>
    <r>
      <rPr>
        <sz val="10"/>
        <rFont val="WenQuanYi Zen Hei"/>
        <family val="2"/>
      </rPr>
      <t xml:space="preserve">　文献のばらつき </t>
    </r>
    <r>
      <rPr>
        <sz val="10"/>
        <rFont val="Arial"/>
        <family val="0"/>
        <charset val="1"/>
      </rPr>
      <t xml:space="preserve">±40 cm³/mol </t>
    </r>
    <r>
      <rPr>
        <sz val="10"/>
        <rFont val="WenQuanYi Zen Hei"/>
        <family val="2"/>
      </rPr>
      <t xml:space="preserve">は </t>
    </r>
    <r>
      <rPr>
        <sz val="10"/>
        <rFont val="Arial"/>
        <family val="0"/>
        <charset val="1"/>
      </rPr>
      <t xml:space="preserve">121 kPa </t>
    </r>
    <r>
      <rPr>
        <sz val="10"/>
        <rFont val="WenQuanYi Zen Hei"/>
        <family val="2"/>
      </rPr>
      <t xml:space="preserve">で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に </t>
    </r>
    <r>
      <rPr>
        <sz val="10"/>
        <rFont val="Arial"/>
        <family val="0"/>
        <charset val="1"/>
      </rPr>
      <t xml:space="preserve">±0.4 %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RH </t>
    </r>
    <r>
      <rPr>
        <sz val="10"/>
        <rFont val="WenQuanYi Zen Hei"/>
        <family val="2"/>
      </rPr>
      <t xml:space="preserve">で </t>
    </r>
    <r>
      <rPr>
        <sz val="10"/>
        <rFont val="Arial"/>
        <family val="0"/>
        <charset val="1"/>
      </rPr>
      <t xml:space="preserve">±0.28 %RH</t>
    </r>
    <r>
      <rPr>
        <sz val="10"/>
        <rFont val="WenQuanYi Zen Hei"/>
        <family val="2"/>
      </rPr>
      <t xml:space="preserve">）効く。</t>
    </r>
    <r>
      <rPr>
        <sz val="10"/>
        <rFont val="Arial"/>
        <family val="0"/>
        <charset val="1"/>
      </rPr>
      <t xml:space="preserve">01_</t>
    </r>
    <r>
      <rPr>
        <sz val="10"/>
        <rFont val="WenQuanYi Zen Hei"/>
        <family val="2"/>
      </rPr>
      <t xml:space="preserve">入力 の </t>
    </r>
    <r>
      <rPr>
        <sz val="10"/>
        <rFont val="Arial"/>
        <family val="0"/>
        <charset val="1"/>
      </rPr>
      <t xml:space="preserve">B12 </t>
    </r>
    <r>
      <rPr>
        <sz val="10"/>
        <rFont val="WenQuanYi Zen Hei"/>
        <family val="2"/>
      </rPr>
      <t xml:space="preserve">セルで感度を確認できる。</t>
    </r>
  </si>
  <si>
    <r>
      <rPr>
        <sz val="10"/>
        <rFont val="WenQuanYi Zen Hei"/>
        <family val="2"/>
      </rPr>
      <t xml:space="preserve">・ノズルは 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で、実機ののど径で校正すること。振動緩和により </t>
    </r>
    <r>
      <rPr>
        <sz val="10"/>
        <rFont val="Arial"/>
        <family val="0"/>
        <charset val="1"/>
      </rPr>
      <t xml:space="preserve">Cd </t>
    </r>
    <r>
      <rPr>
        <sz val="10"/>
        <rFont val="WenQuanYi Zen Hei"/>
        <family val="2"/>
      </rPr>
      <t xml:space="preserve">が最大 </t>
    </r>
    <r>
      <rPr>
        <sz val="10"/>
        <rFont val="Arial"/>
        <family val="0"/>
        <charset val="1"/>
      </rPr>
      <t xml:space="preserve">2 % </t>
    </r>
    <r>
      <rPr>
        <sz val="10"/>
        <rFont val="WenQuanYi Zen Hei"/>
        <family val="2"/>
      </rPr>
      <t xml:space="preserve">ずれる。</t>
    </r>
  </si>
  <si>
    <r>
      <rPr>
        <sz val="10"/>
        <rFont val="WenQuanYi Zen Hei"/>
        <family val="2"/>
      </rPr>
      <t xml:space="preserve">・容量式</t>
    </r>
    <r>
      <rPr>
        <sz val="10"/>
        <rFont val="Arial"/>
        <family val="0"/>
        <charset val="1"/>
      </rPr>
      <t xml:space="preserve">RH</t>
    </r>
    <r>
      <rPr>
        <sz val="10"/>
        <rFont val="WenQuanYi Zen Hei"/>
        <family val="2"/>
      </rPr>
      <t xml:space="preserve">センサは 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に交差感度がある。冷却鏡式（</t>
    </r>
    <r>
      <rPr>
        <sz val="10"/>
        <rFont val="Arial"/>
        <family val="0"/>
        <charset val="1"/>
      </rPr>
      <t xml:space="preserve">Michell S8000, ±0.1 °C ≈ ±0.42 %RH</t>
    </r>
    <r>
      <rPr>
        <sz val="10"/>
        <rFont val="WenQuanYi Zen Hei"/>
        <family val="2"/>
      </rPr>
      <t xml:space="preserve">）を基準とし、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中で校正すること。</t>
    </r>
  </si>
  <si>
    <r>
      <rPr>
        <sz val="10"/>
        <rFont val="WenQuanYi Zen Hei"/>
        <family val="2"/>
      </rPr>
      <t xml:space="preserve">・排気オリフィスの </t>
    </r>
    <r>
      <rPr>
        <sz val="10"/>
        <rFont val="Arial"/>
        <family val="0"/>
        <charset val="1"/>
      </rPr>
      <t xml:space="preserve">Cd = 0.62 </t>
    </r>
    <r>
      <rPr>
        <sz val="10"/>
        <rFont val="WenQuanYi Zen Hei"/>
        <family val="2"/>
      </rPr>
      <t xml:space="preserve">は代表値。実機で校正すること。</t>
    </r>
  </si>
  <si>
    <t xml:space="preserve">凡例</t>
  </si>
  <si>
    <r>
      <rPr>
        <sz val="10"/>
        <rFont val="WenQuanYi Zen Hei"/>
        <family val="2"/>
      </rPr>
      <t xml:space="preserve">黄色セル＋青字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入力値 </t>
    </r>
    <r>
      <rPr>
        <sz val="10"/>
        <rFont val="Arial"/>
        <family val="0"/>
        <charset val="1"/>
      </rPr>
      <t xml:space="preserve">/  </t>
    </r>
    <r>
      <rPr>
        <sz val="10"/>
        <rFont val="WenQuanYi Zen Hei"/>
        <family val="2"/>
      </rPr>
      <t xml:space="preserve">黒字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数式 </t>
    </r>
    <r>
      <rPr>
        <sz val="10"/>
        <rFont val="Arial"/>
        <family val="0"/>
        <charset val="1"/>
      </rPr>
      <t xml:space="preserve">/  </t>
    </r>
    <r>
      <rPr>
        <sz val="10"/>
        <rFont val="WenQuanYi Zen Hei"/>
        <family val="2"/>
      </rPr>
      <t xml:space="preserve">赤字＋橙セル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主要な結果 </t>
    </r>
    <r>
      <rPr>
        <sz val="10"/>
        <rFont val="Arial"/>
        <family val="0"/>
        <charset val="1"/>
      </rPr>
      <t xml:space="preserve">/  </t>
    </r>
    <r>
      <rPr>
        <sz val="10"/>
        <rFont val="WenQuanYi Zen Hei"/>
        <family val="2"/>
      </rPr>
      <t xml:space="preserve">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参照値 </t>
    </r>
    <r>
      <rPr>
        <sz val="10"/>
        <rFont val="Arial"/>
        <family val="0"/>
        <charset val="1"/>
      </rPr>
      <t xml:space="preserve">/  </t>
    </r>
    <r>
      <rPr>
        <sz val="10"/>
        <rFont val="WenQuanYi Zen Hei"/>
        <family val="2"/>
      </rPr>
      <t xml:space="preserve">灰色斜体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注記・出典</t>
    </r>
  </si>
  <si>
    <r>
      <rPr>
        <b val="true"/>
        <sz val="14"/>
        <color rgb="FF1F3864"/>
        <rFont val="WenQuanYi Zen Hei"/>
        <family val="2"/>
      </rPr>
      <t xml:space="preserve">入力パラメータ </t>
    </r>
    <r>
      <rPr>
        <b val="true"/>
        <sz val="14"/>
        <color rgb="FF1F3864"/>
        <rFont val="Arial"/>
        <family val="0"/>
        <charset val="1"/>
      </rPr>
      <t xml:space="preserve">/ Input parameters</t>
    </r>
  </si>
  <si>
    <t xml:space="preserve">黄色セル（青字）のみ編集してください。他のシートはすべてこのシートを参照する数式です。</t>
  </si>
  <si>
    <r>
      <rPr>
        <b val="true"/>
        <sz val="10"/>
        <color rgb="FF1F3864"/>
        <rFont val="Arial"/>
        <family val="0"/>
        <charset val="1"/>
      </rPr>
      <t xml:space="preserve">A. </t>
    </r>
    <r>
      <rPr>
        <b val="true"/>
        <sz val="10"/>
        <color rgb="FF1F3864"/>
        <rFont val="WenQuanYi Zen Hei"/>
        <family val="2"/>
      </rPr>
      <t xml:space="preserve">出力段の目標条件 </t>
    </r>
    <r>
      <rPr>
        <b val="true"/>
        <sz val="10"/>
        <color rgb="FF1F3864"/>
        <rFont val="Arial"/>
        <family val="0"/>
        <charset val="1"/>
      </rPr>
      <t xml:space="preserve">/ Target at the delivery plane</t>
    </r>
  </si>
  <si>
    <r>
      <rPr>
        <sz val="10"/>
        <rFont val="WenQuanYi Zen Hei"/>
        <family val="2"/>
      </rPr>
      <t xml:space="preserve">大気圧  </t>
    </r>
    <r>
      <rPr>
        <sz val="10"/>
        <rFont val="Arial"/>
        <family val="0"/>
        <charset val="1"/>
      </rPr>
      <t xml:space="preserve">P_atm</t>
    </r>
  </si>
  <si>
    <t xml:space="preserve">kPa</t>
  </si>
  <si>
    <t xml:space="preserve">標準大気圧。実際の設置標高に合わせて変更</t>
  </si>
  <si>
    <r>
      <rPr>
        <sz val="10"/>
        <rFont val="WenQuanYi Zen Hei"/>
        <family val="2"/>
      </rPr>
      <t xml:space="preserve">出力段ゲージ圧  </t>
    </r>
    <r>
      <rPr>
        <sz val="10"/>
        <rFont val="Arial"/>
        <family val="0"/>
        <charset val="1"/>
      </rPr>
      <t xml:space="preserve">P_out,g</t>
    </r>
  </si>
  <si>
    <t xml:space="preserve">要求仕様（ゲージ圧）</t>
  </si>
  <si>
    <r>
      <rPr>
        <sz val="10"/>
        <rFont val="WenQuanYi Zen Hei"/>
        <family val="2"/>
      </rPr>
      <t xml:space="preserve">出力段温度  </t>
    </r>
    <r>
      <rPr>
        <sz val="10"/>
        <rFont val="Arial"/>
        <family val="0"/>
        <charset val="1"/>
      </rPr>
      <t xml:space="preserve">T_out</t>
    </r>
  </si>
  <si>
    <t xml:space="preserve">°C</t>
  </si>
  <si>
    <r>
      <rPr>
        <sz val="10"/>
        <rFont val="WenQuanYi Zen Hei"/>
        <family val="2"/>
      </rPr>
      <t xml:space="preserve">出力段相対湿度  </t>
    </r>
    <r>
      <rPr>
        <sz val="10"/>
        <rFont val="Arial"/>
        <family val="0"/>
        <charset val="1"/>
      </rPr>
      <t xml:space="preserve">RH_out</t>
    </r>
  </si>
  <si>
    <t xml:space="preserve">-</t>
  </si>
  <si>
    <r>
      <rPr>
        <i val="true"/>
        <sz val="9"/>
        <color rgb="FF595959"/>
        <rFont val="WenQuanYi Zen Hei"/>
        <family val="2"/>
      </rPr>
      <t xml:space="preserve">要求仕様（</t>
    </r>
    <r>
      <rPr>
        <i val="true"/>
        <sz val="9"/>
        <color rgb="FF595959"/>
        <rFont val="Arial"/>
        <family val="0"/>
        <charset val="1"/>
      </rPr>
      <t xml:space="preserve">70 %</t>
    </r>
    <r>
      <rPr>
        <i val="true"/>
        <sz val="9"/>
        <color rgb="FF595959"/>
        <rFont val="WenQuanYi Zen Hei"/>
        <family val="2"/>
      </rPr>
      <t xml:space="preserve">）。</t>
    </r>
    <r>
      <rPr>
        <i val="true"/>
        <sz val="9"/>
        <color rgb="FF595959"/>
        <rFont val="Arial"/>
        <family val="0"/>
        <charset val="1"/>
      </rPr>
      <t xml:space="preserve">RH = p_v /(f·p_sat)</t>
    </r>
  </si>
  <si>
    <r>
      <rPr>
        <sz val="10"/>
        <rFont val="WenQuanYi Zen Hei"/>
        <family val="2"/>
      </rPr>
      <t xml:space="preserve">  → 出力段絶対圧  </t>
    </r>
    <r>
      <rPr>
        <sz val="10"/>
        <rFont val="Arial"/>
        <family val="0"/>
        <charset val="1"/>
      </rPr>
      <t xml:space="preserve">P_out,abs</t>
    </r>
  </si>
  <si>
    <r>
      <rPr>
        <i val="true"/>
        <sz val="9"/>
        <color rgb="FF595959"/>
        <rFont val="WenQuanYi Zen Hei"/>
        <family val="2"/>
      </rPr>
      <t xml:space="preserve">大気圧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ゲージ圧</t>
    </r>
  </si>
  <si>
    <r>
      <rPr>
        <b val="true"/>
        <sz val="10"/>
        <color rgb="FF1F3864"/>
        <rFont val="Arial"/>
        <family val="0"/>
        <charset val="1"/>
      </rPr>
      <t xml:space="preserve">B. </t>
    </r>
    <r>
      <rPr>
        <b val="true"/>
        <sz val="10"/>
        <color rgb="FF1F3864"/>
        <rFont val="WenQuanYi Zen Hei"/>
        <family val="2"/>
      </rPr>
      <t xml:space="preserve">ガス源・調湿 </t>
    </r>
    <r>
      <rPr>
        <b val="true"/>
        <sz val="10"/>
        <color rgb="FF1F3864"/>
        <rFont val="Arial"/>
        <family val="0"/>
        <charset val="1"/>
      </rPr>
      <t xml:space="preserve">/ Source gas and humidity conditioning</t>
    </r>
  </si>
  <si>
    <r>
      <rPr>
        <sz val="10"/>
        <rFont val="WenQuanYi Zen Hei"/>
        <family val="2"/>
      </rPr>
      <t xml:space="preserve">一次側（ノズル上流）絶対圧  </t>
    </r>
    <r>
      <rPr>
        <sz val="10"/>
        <rFont val="Arial"/>
        <family val="0"/>
        <charset val="1"/>
      </rPr>
      <t xml:space="preserve">P_1</t>
    </r>
  </si>
  <si>
    <t xml:space="preserve">kPa abs</t>
  </si>
  <si>
    <r>
      <rPr>
        <i val="true"/>
        <sz val="9"/>
        <color rgb="FF595959"/>
        <rFont val="WenQuanYi Zen Hei"/>
        <family val="2"/>
      </rPr>
      <t xml:space="preserve">チョーク維持のため出力段絶対圧の </t>
    </r>
    <r>
      <rPr>
        <i val="true"/>
        <sz val="9"/>
        <color rgb="FF595959"/>
        <rFont val="Arial"/>
        <family val="0"/>
        <charset val="1"/>
      </rPr>
      <t xml:space="preserve">2.5 </t>
    </r>
    <r>
      <rPr>
        <i val="true"/>
        <sz val="9"/>
        <color rgb="FF595959"/>
        <rFont val="WenQuanYi Zen Hei"/>
        <family val="2"/>
      </rPr>
      <t xml:space="preserve">倍以上を推奨</t>
    </r>
  </si>
  <si>
    <r>
      <rPr>
        <sz val="10"/>
        <rFont val="WenQuanYi Zen Hei"/>
        <family val="2"/>
      </rPr>
      <t xml:space="preserve">飽和器出口相対湿度  </t>
    </r>
    <r>
      <rPr>
        <sz val="10"/>
        <rFont val="Arial"/>
        <family val="0"/>
        <charset val="1"/>
      </rPr>
      <t xml:space="preserve">η_sat</t>
    </r>
  </si>
  <si>
    <r>
      <rPr>
        <i val="true"/>
        <sz val="9"/>
        <color rgb="FF595959"/>
        <rFont val="WenQuanYi Zen Hei"/>
        <family val="2"/>
      </rPr>
      <t xml:space="preserve">「湿度</t>
    </r>
    <r>
      <rPr>
        <i val="true"/>
        <sz val="9"/>
        <color rgb="FF595959"/>
        <rFont val="Arial"/>
        <family val="0"/>
        <charset val="1"/>
      </rPr>
      <t xml:space="preserve">90 %</t>
    </r>
    <r>
      <rPr>
        <i val="true"/>
        <sz val="9"/>
        <color rgb="FF595959"/>
        <rFont val="WenQuanYi Zen Hei"/>
        <family val="2"/>
      </rPr>
      <t xml:space="preserve">の</t>
    </r>
    <r>
      <rPr>
        <i val="true"/>
        <sz val="9"/>
        <color rgb="FF595959"/>
        <rFont val="Arial"/>
        <family val="0"/>
        <charset val="1"/>
      </rPr>
      <t xml:space="preserve">CO2</t>
    </r>
    <r>
      <rPr>
        <i val="true"/>
        <sz val="9"/>
        <color rgb="FF595959"/>
        <rFont val="WenQuanYi Zen Hei"/>
        <family val="2"/>
      </rPr>
      <t xml:space="preserve">」＝飽和器の飽和効率。ミスト同伴に注意</t>
    </r>
  </si>
  <si>
    <r>
      <rPr>
        <sz val="10"/>
        <rFont val="WenQuanYi Zen Hei"/>
        <family val="2"/>
      </rPr>
      <t xml:space="preserve">飽和器出口温度  </t>
    </r>
    <r>
      <rPr>
        <sz val="10"/>
        <rFont val="Arial"/>
        <family val="0"/>
        <charset val="1"/>
      </rPr>
      <t xml:space="preserve">T_sat</t>
    </r>
  </si>
  <si>
    <r>
      <rPr>
        <i val="true"/>
        <sz val="9"/>
        <color rgb="FF595959"/>
        <rFont val="Arial"/>
        <family val="0"/>
        <charset val="1"/>
      </rPr>
      <t xml:space="preserve">★03</t>
    </r>
    <r>
      <rPr>
        <i val="true"/>
        <sz val="9"/>
        <color rgb="FF595959"/>
        <rFont val="WenQuanYi Zen Hei"/>
        <family val="2"/>
      </rPr>
      <t xml:space="preserve">シートが算出する『必要飽和器温度』をここに入力</t>
    </r>
  </si>
  <si>
    <r>
      <rPr>
        <sz val="10"/>
        <rFont val="WenQuanYi Zen Hei"/>
        <family val="2"/>
      </rPr>
      <t xml:space="preserve">一次側トレース加熱温度  </t>
    </r>
    <r>
      <rPr>
        <sz val="10"/>
        <rFont val="Arial"/>
        <family val="0"/>
        <charset val="1"/>
      </rPr>
      <t xml:space="preserve">T_trace</t>
    </r>
  </si>
  <si>
    <r>
      <rPr>
        <i val="true"/>
        <sz val="9"/>
        <color rgb="FF595959"/>
        <rFont val="WenQuanYi Zen Hei"/>
        <family val="2"/>
      </rPr>
      <t xml:space="preserve">一次側配管壁温。加圧側露点（約 </t>
    </r>
    <r>
      <rPr>
        <i val="true"/>
        <sz val="9"/>
        <color rgb="FF595959"/>
        <rFont val="Arial"/>
        <family val="0"/>
        <charset val="1"/>
      </rPr>
      <t xml:space="preserve">28.8 °C</t>
    </r>
    <r>
      <rPr>
        <i val="true"/>
        <sz val="9"/>
        <color rgb="FF595959"/>
        <rFont val="WenQuanYi Zen Hei"/>
        <family val="2"/>
      </rPr>
      <t xml:space="preserve">）より </t>
    </r>
    <r>
      <rPr>
        <i val="true"/>
        <sz val="9"/>
        <color rgb="FF595959"/>
        <rFont val="Arial"/>
        <family val="0"/>
        <charset val="1"/>
      </rPr>
      <t xml:space="preserve">5 K </t>
    </r>
    <r>
      <rPr>
        <i val="true"/>
        <sz val="9"/>
        <color rgb="FF595959"/>
        <rFont val="WenQuanYi Zen Hei"/>
        <family val="2"/>
      </rPr>
      <t xml:space="preserve">以上高く保つ（</t>
    </r>
    <r>
      <rPr>
        <i val="true"/>
        <sz val="9"/>
        <color rgb="FF595959"/>
        <rFont val="Arial"/>
        <family val="0"/>
        <charset val="1"/>
      </rPr>
      <t xml:space="preserve">US EPA Method 320</t>
    </r>
    <r>
      <rPr>
        <i val="true"/>
        <sz val="9"/>
        <color rgb="FF595959"/>
        <rFont val="WenQuanYi Zen Hei"/>
        <family val="2"/>
      </rPr>
      <t xml:space="preserve">）</t>
    </r>
  </si>
  <si>
    <r>
      <rPr>
        <b val="true"/>
        <sz val="10"/>
        <color rgb="FF1F3864"/>
        <rFont val="Arial"/>
        <family val="0"/>
        <charset val="1"/>
      </rPr>
      <t xml:space="preserve">C. </t>
    </r>
    <r>
      <rPr>
        <b val="true"/>
        <sz val="10"/>
        <color rgb="FF1F3864"/>
        <rFont val="WenQuanYi Zen Hei"/>
        <family val="2"/>
      </rPr>
      <t xml:space="preserve">流量と切替タイミング </t>
    </r>
    <r>
      <rPr>
        <b val="true"/>
        <sz val="10"/>
        <color rgb="FF1F3864"/>
        <rFont val="Arial"/>
        <family val="0"/>
        <charset val="1"/>
      </rPr>
      <t xml:space="preserve">/ Flow set-points and switching</t>
    </r>
  </si>
  <si>
    <r>
      <rPr>
        <sz val="10"/>
        <rFont val="WenQuanYi Zen Hei"/>
        <family val="2"/>
      </rPr>
      <t xml:space="preserve">高流量  </t>
    </r>
    <r>
      <rPr>
        <sz val="10"/>
        <rFont val="Arial"/>
        <family val="0"/>
        <charset val="1"/>
      </rPr>
      <t xml:space="preserve">Q_H</t>
    </r>
  </si>
  <si>
    <t xml:space="preserve">NLPM</t>
  </si>
  <si>
    <r>
      <rPr>
        <sz val="10"/>
        <rFont val="WenQuanYi Zen Hei"/>
        <family val="2"/>
      </rPr>
      <t xml:space="preserve">低流量  </t>
    </r>
    <r>
      <rPr>
        <sz val="10"/>
        <rFont val="Arial"/>
        <family val="0"/>
        <charset val="1"/>
      </rPr>
      <t xml:space="preserve">Q_L</t>
    </r>
  </si>
  <si>
    <r>
      <rPr>
        <sz val="10"/>
        <rFont val="WenQuanYi Zen Hei"/>
        <family val="2"/>
      </rPr>
      <t xml:space="preserve">高流量保持時間  </t>
    </r>
    <r>
      <rPr>
        <sz val="10"/>
        <rFont val="Arial"/>
        <family val="0"/>
        <charset val="1"/>
      </rPr>
      <t xml:space="preserve">t_H</t>
    </r>
  </si>
  <si>
    <t xml:space="preserve">ms</t>
  </si>
  <si>
    <r>
      <rPr>
        <i val="true"/>
        <sz val="9"/>
        <color rgb="FF595959"/>
        <rFont val="WenQuanYi Zen Hei"/>
        <family val="2"/>
      </rPr>
      <t xml:space="preserve">「</t>
    </r>
    <r>
      <rPr>
        <i val="true"/>
        <sz val="9"/>
        <color rgb="FF595959"/>
        <rFont val="Arial"/>
        <family val="0"/>
        <charset val="1"/>
      </rPr>
      <t xml:space="preserve">30 ms </t>
    </r>
    <r>
      <rPr>
        <i val="true"/>
        <sz val="9"/>
        <color rgb="FF595959"/>
        <rFont val="WenQuanYi Zen Hei"/>
        <family val="2"/>
      </rPr>
      <t xml:space="preserve">で交互に切替」の解釈。周期 </t>
    </r>
    <r>
      <rPr>
        <i val="true"/>
        <sz val="9"/>
        <color rgb="FF595959"/>
        <rFont val="Arial"/>
        <family val="0"/>
        <charset val="1"/>
      </rPr>
      <t xml:space="preserve">= t_H + t_L</t>
    </r>
  </si>
  <si>
    <r>
      <rPr>
        <sz val="10"/>
        <rFont val="WenQuanYi Zen Hei"/>
        <family val="2"/>
      </rPr>
      <t xml:space="preserve">低流量保持時間  </t>
    </r>
    <r>
      <rPr>
        <sz val="10"/>
        <rFont val="Arial"/>
        <family val="0"/>
        <charset val="1"/>
      </rPr>
      <t xml:space="preserve">t_L</t>
    </r>
  </si>
  <si>
    <r>
      <rPr>
        <i val="true"/>
        <sz val="9"/>
        <color rgb="FF595959"/>
        <rFont val="WenQuanYi Zen Hei"/>
        <family val="2"/>
      </rPr>
      <t xml:space="preserve">周期を </t>
    </r>
    <r>
      <rPr>
        <i val="true"/>
        <sz val="9"/>
        <color rgb="FF595959"/>
        <rFont val="Arial"/>
        <family val="0"/>
        <charset val="1"/>
      </rPr>
      <t xml:space="preserve">30 ms </t>
    </r>
    <r>
      <rPr>
        <i val="true"/>
        <sz val="9"/>
        <color rgb="FF595959"/>
        <rFont val="WenQuanYi Zen Hei"/>
        <family val="2"/>
      </rPr>
      <t xml:space="preserve">とする解釈なら </t>
    </r>
    <r>
      <rPr>
        <i val="true"/>
        <sz val="9"/>
        <color rgb="FF595959"/>
        <rFont val="Arial"/>
        <family val="0"/>
        <charset val="1"/>
      </rPr>
      <t xml:space="preserve">t_H = t_L = 15 ms </t>
    </r>
    <r>
      <rPr>
        <i val="true"/>
        <sz val="9"/>
        <color rgb="FF595959"/>
        <rFont val="WenQuanYi Zen Hei"/>
        <family val="2"/>
      </rPr>
      <t xml:space="preserve">に変更</t>
    </r>
  </si>
  <si>
    <r>
      <rPr>
        <sz val="10"/>
        <rFont val="WenQuanYi Zen Hei"/>
        <family val="2"/>
      </rPr>
      <t xml:space="preserve">標準状態 基準温度  </t>
    </r>
    <r>
      <rPr>
        <sz val="10"/>
        <rFont val="Arial"/>
        <family val="0"/>
        <charset val="1"/>
      </rPr>
      <t xml:space="preserve">T_ref</t>
    </r>
  </si>
  <si>
    <r>
      <rPr>
        <i val="true"/>
        <sz val="9"/>
        <color rgb="FF595959"/>
        <rFont val="Arial"/>
        <family val="0"/>
        <charset val="1"/>
      </rPr>
      <t xml:space="preserve">DIN 1343 = 0 °C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= SEMI E12</t>
    </r>
    <r>
      <rPr>
        <i val="true"/>
        <sz val="9"/>
        <color rgb="FF595959"/>
        <rFont val="WenQuanYi Zen Hei"/>
        <family val="2"/>
      </rPr>
      <t xml:space="preserve">）。</t>
    </r>
    <r>
      <rPr>
        <i val="true"/>
        <sz val="9"/>
        <color rgb="FF595959"/>
        <rFont val="Arial"/>
        <family val="0"/>
        <charset val="1"/>
      </rPr>
      <t xml:space="preserve">ISO 13443 </t>
    </r>
    <r>
      <rPr>
        <i val="true"/>
        <sz val="9"/>
        <color rgb="FF595959"/>
        <rFont val="WenQuanYi Zen Hei"/>
        <family val="2"/>
      </rPr>
      <t xml:space="preserve">は </t>
    </r>
    <r>
      <rPr>
        <i val="true"/>
        <sz val="9"/>
        <color rgb="FF595959"/>
        <rFont val="Arial"/>
        <family val="0"/>
        <charset val="1"/>
      </rPr>
      <t xml:space="preserve">15 °C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20 °C </t>
    </r>
    <r>
      <rPr>
        <i val="true"/>
        <sz val="9"/>
        <color rgb="FF595959"/>
        <rFont val="WenQuanYi Zen Hei"/>
        <family val="2"/>
      </rPr>
      <t xml:space="preserve">はベンダ慣行</t>
    </r>
  </si>
  <si>
    <r>
      <rPr>
        <sz val="10"/>
        <rFont val="WenQuanYi Zen Hei"/>
        <family val="2"/>
      </rPr>
      <t xml:space="preserve">標準状態 基準圧力  </t>
    </r>
    <r>
      <rPr>
        <sz val="10"/>
        <rFont val="Arial"/>
        <family val="0"/>
        <charset val="1"/>
      </rPr>
      <t xml:space="preserve">p_ref</t>
    </r>
  </si>
  <si>
    <r>
      <rPr>
        <i val="true"/>
        <sz val="9"/>
        <color rgb="FF595959"/>
        <rFont val="Arial"/>
        <family val="0"/>
        <charset val="1"/>
      </rPr>
      <t xml:space="preserve">0 °C </t>
    </r>
    <r>
      <rPr>
        <i val="true"/>
        <sz val="9"/>
        <color rgb="FF595959"/>
        <rFont val="WenQuanYi Zen Hei"/>
        <family val="2"/>
      </rPr>
      <t xml:space="preserve">基準と </t>
    </r>
    <r>
      <rPr>
        <i val="true"/>
        <sz val="9"/>
        <color rgb="FF595959"/>
        <rFont val="Arial"/>
        <family val="0"/>
        <charset val="1"/>
      </rPr>
      <t xml:space="preserve">20 °C </t>
    </r>
    <r>
      <rPr>
        <i val="true"/>
        <sz val="9"/>
        <color rgb="FF595959"/>
        <rFont val="WenQuanYi Zen Hei"/>
        <family val="2"/>
      </rPr>
      <t xml:space="preserve">基準では質量流量が </t>
    </r>
    <r>
      <rPr>
        <i val="true"/>
        <sz val="9"/>
        <color rgb="FF595959"/>
        <rFont val="Arial"/>
        <family val="0"/>
        <charset val="1"/>
      </rPr>
      <t xml:space="preserve">7.32 % </t>
    </r>
    <r>
      <rPr>
        <i val="true"/>
        <sz val="9"/>
        <color rgb="FF595959"/>
        <rFont val="WenQuanYi Zen Hei"/>
        <family val="2"/>
      </rPr>
      <t xml:space="preserve">違う</t>
    </r>
  </si>
  <si>
    <r>
      <rPr>
        <b val="true"/>
        <sz val="10"/>
        <color rgb="FF1F3864"/>
        <rFont val="Arial"/>
        <family val="0"/>
        <charset val="1"/>
      </rPr>
      <t xml:space="preserve">D. </t>
    </r>
    <r>
      <rPr>
        <b val="true"/>
        <sz val="10"/>
        <color rgb="FF1F3864"/>
        <rFont val="WenQuanYi Zen Hei"/>
        <family val="2"/>
      </rPr>
      <t xml:space="preserve">ハードウェア </t>
    </r>
    <r>
      <rPr>
        <b val="true"/>
        <sz val="10"/>
        <color rgb="FF1F3864"/>
        <rFont val="Arial"/>
        <family val="0"/>
        <charset val="1"/>
      </rPr>
      <t xml:space="preserve">/ Hardware</t>
    </r>
  </si>
  <si>
    <r>
      <rPr>
        <sz val="10"/>
        <rFont val="WenQuanYi Zen Hei"/>
        <family val="2"/>
      </rPr>
      <t xml:space="preserve">一次プレナム容積  </t>
    </r>
    <r>
      <rPr>
        <sz val="10"/>
        <rFont val="Arial"/>
        <family val="0"/>
        <charset val="1"/>
      </rPr>
      <t xml:space="preserve">V_1</t>
    </r>
  </si>
  <si>
    <t xml:space="preserve">L</t>
  </si>
  <si>
    <r>
      <rPr>
        <i val="true"/>
        <sz val="9"/>
        <color rgb="FF595959"/>
        <rFont val="WenQuanYi Zen Hei"/>
        <family val="2"/>
      </rPr>
      <t xml:space="preserve">ノズル上流の安定化容積。</t>
    </r>
    <r>
      <rPr>
        <i val="true"/>
        <sz val="9"/>
        <color rgb="FF595959"/>
        <rFont val="Arial"/>
        <family val="0"/>
        <charset val="1"/>
      </rPr>
      <t xml:space="preserve">p_0 </t>
    </r>
    <r>
      <rPr>
        <i val="true"/>
        <sz val="9"/>
        <color rgb="FF595959"/>
        <rFont val="WenQuanYi Zen Hei"/>
        <family val="2"/>
      </rPr>
      <t xml:space="preserve">変動は流量誤差に </t>
    </r>
    <r>
      <rPr>
        <i val="true"/>
        <sz val="9"/>
        <color rgb="FF595959"/>
        <rFont val="Arial"/>
        <family val="0"/>
        <charset val="1"/>
      </rPr>
      <t xml:space="preserve">1:1 </t>
    </r>
    <r>
      <rPr>
        <i val="true"/>
        <sz val="9"/>
        <color rgb="FF595959"/>
        <rFont val="WenQuanYi Zen Hei"/>
        <family val="2"/>
      </rPr>
      <t xml:space="preserve">で効く</t>
    </r>
  </si>
  <si>
    <r>
      <rPr>
        <sz val="10"/>
        <rFont val="WenQuanYi Zen Hei"/>
        <family val="2"/>
      </rPr>
      <t xml:space="preserve">出力プレナム容積  </t>
    </r>
    <r>
      <rPr>
        <sz val="10"/>
        <rFont val="Arial"/>
        <family val="0"/>
        <charset val="1"/>
      </rPr>
      <t xml:space="preserve">V_2</t>
    </r>
  </si>
  <si>
    <t xml:space="preserve">mL</t>
  </si>
  <si>
    <t xml:space="preserve">出力段の容積。大きいほど圧力は安定するが流量変調が鈍る</t>
  </si>
  <si>
    <r>
      <rPr>
        <sz val="10"/>
        <rFont val="WenQuanYi Zen Hei"/>
        <family val="2"/>
      </rPr>
      <t xml:space="preserve">配管内径（切替弁→出力段）</t>
    </r>
    <r>
      <rPr>
        <sz val="10"/>
        <rFont val="Arial"/>
        <family val="0"/>
        <charset val="1"/>
      </rPr>
      <t xml:space="preserve">d_i</t>
    </r>
  </si>
  <si>
    <t xml:space="preserve">mm</t>
  </si>
  <si>
    <r>
      <rPr>
        <sz val="10"/>
        <rFont val="WenQuanYi Zen Hei"/>
        <family val="2"/>
      </rPr>
      <t xml:space="preserve">配管長（切替弁→出力段）</t>
    </r>
    <r>
      <rPr>
        <sz val="10"/>
        <rFont val="Arial"/>
        <family val="0"/>
        <charset val="1"/>
      </rPr>
      <t xml:space="preserve">L</t>
    </r>
  </si>
  <si>
    <t xml:space="preserve">m</t>
  </si>
  <si>
    <r>
      <rPr>
        <i val="true"/>
        <sz val="9"/>
        <color rgb="FF595959"/>
        <rFont val="WenQuanYi Zen Hei"/>
        <family val="2"/>
      </rPr>
      <t xml:space="preserve">★既定値は「弁・ノズル・出力プレナムを </t>
    </r>
    <r>
      <rPr>
        <i val="true"/>
        <sz val="9"/>
        <color rgb="FF595959"/>
        <rFont val="Arial"/>
        <family val="0"/>
        <charset val="1"/>
      </rPr>
      <t xml:space="preserve">25 mm </t>
    </r>
    <r>
      <rPr>
        <i val="true"/>
        <sz val="9"/>
        <color rgb="FF595959"/>
        <rFont val="WenQuanYi Zen Hei"/>
        <family val="2"/>
      </rPr>
      <t xml:space="preserve">以内に一体化する」という推奨構成。</t>
    </r>
    <r>
      <rPr>
        <i val="true"/>
        <sz val="9"/>
        <color rgb="FF595959"/>
        <rFont val="Arial"/>
        <family val="0"/>
        <charset val="1"/>
      </rPr>
      <t xml:space="preserve">05 </t>
    </r>
    <r>
      <rPr>
        <i val="true"/>
        <sz val="9"/>
        <color rgb="FF595959"/>
        <rFont val="WenQuanYi Zen Hei"/>
        <family val="2"/>
      </rPr>
      <t xml:space="preserve">シートの集中定数限界と整合</t>
    </r>
  </si>
  <si>
    <r>
      <rPr>
        <sz val="10"/>
        <rFont val="WenQuanYi Zen Hei"/>
        <family val="2"/>
      </rPr>
      <t xml:space="preserve">高速弁 応答時間  </t>
    </r>
    <r>
      <rPr>
        <sz val="10"/>
        <rFont val="Arial"/>
        <family val="0"/>
        <charset val="1"/>
      </rPr>
      <t xml:space="preserve">t_v</t>
    </r>
  </si>
  <si>
    <r>
      <rPr>
        <i val="true"/>
        <sz val="9"/>
        <color rgb="FF595959"/>
        <rFont val="Arial"/>
        <family val="0"/>
        <charset val="1"/>
      </rPr>
      <t xml:space="preserve">SMC SX10: 0.45/0.40 ms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Festo MHJ10: &lt;1 ms</t>
    </r>
  </si>
  <si>
    <r>
      <rPr>
        <sz val="10"/>
        <rFont val="WenQuanYi Zen Hei"/>
        <family val="2"/>
      </rPr>
      <t xml:space="preserve">入口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出口弁 同期ずれ  </t>
    </r>
    <r>
      <rPr>
        <sz val="10"/>
        <rFont val="Arial"/>
        <family val="0"/>
        <charset val="1"/>
      </rPr>
      <t xml:space="preserve">Δt_skew</t>
    </r>
  </si>
  <si>
    <t xml:space="preserve">★同期排気方式での残留リプルを決める最重要パラメータ</t>
  </si>
  <si>
    <r>
      <rPr>
        <sz val="10"/>
        <rFont val="WenQuanYi Zen Hei"/>
        <family val="2"/>
      </rPr>
      <t xml:space="preserve">ポリトロープ指数  </t>
    </r>
    <r>
      <rPr>
        <sz val="10"/>
        <rFont val="Arial"/>
        <family val="0"/>
        <charset val="1"/>
      </rPr>
      <t xml:space="preserve">n</t>
    </r>
  </si>
  <si>
    <r>
      <rPr>
        <i val="true"/>
        <sz val="9"/>
        <color rgb="FF595959"/>
        <rFont val="Arial"/>
        <family val="0"/>
        <charset val="1"/>
      </rPr>
      <t xml:space="preserve">1 = </t>
    </r>
    <r>
      <rPr>
        <i val="true"/>
        <sz val="9"/>
        <color rgb="FF595959"/>
        <rFont val="WenQuanYi Zen Hei"/>
        <family val="2"/>
      </rPr>
      <t xml:space="preserve">等温（遅い）、</t>
    </r>
    <r>
      <rPr>
        <i val="true"/>
        <sz val="9"/>
        <color rgb="FF595959"/>
        <rFont val="Arial"/>
        <family val="0"/>
        <charset val="1"/>
      </rPr>
      <t xml:space="preserve">γ ≈ 1.29 = </t>
    </r>
    <r>
      <rPr>
        <i val="true"/>
        <sz val="9"/>
        <color rgb="FF595959"/>
        <rFont val="WenQuanYi Zen Hei"/>
        <family val="2"/>
      </rPr>
      <t xml:space="preserve">断熱（速い）。</t>
    </r>
    <r>
      <rPr>
        <i val="true"/>
        <sz val="9"/>
        <color rgb="FF595959"/>
        <rFont val="Arial"/>
        <family val="0"/>
        <charset val="1"/>
      </rPr>
      <t xml:space="preserve">30 ms </t>
    </r>
    <r>
      <rPr>
        <i val="true"/>
        <sz val="9"/>
        <color rgb="FF595959"/>
        <rFont val="WenQuanYi Zen Hei"/>
        <family val="2"/>
      </rPr>
      <t xml:space="preserve">なら断熱側</t>
    </r>
  </si>
  <si>
    <r>
      <rPr>
        <sz val="10"/>
        <rFont val="WenQuanYi Zen Hei"/>
        <family val="2"/>
      </rPr>
      <t xml:space="preserve">排気オリフィス 流量係数  </t>
    </r>
    <r>
      <rPr>
        <sz val="10"/>
        <rFont val="Arial"/>
        <family val="0"/>
        <charset val="1"/>
      </rPr>
      <t xml:space="preserve">Cd_or</t>
    </r>
  </si>
  <si>
    <t xml:space="preserve">薄刃オリフィス。実機では校正すること</t>
  </si>
  <si>
    <r>
      <rPr>
        <sz val="10"/>
        <rFont val="WenQuanYi Zen Hei"/>
        <family val="2"/>
      </rPr>
      <t xml:space="preserve">プレナム首部 内径  </t>
    </r>
    <r>
      <rPr>
        <sz val="10"/>
        <rFont val="Arial"/>
        <family val="0"/>
        <charset val="1"/>
      </rPr>
      <t xml:space="preserve">d_neck</t>
    </r>
  </si>
  <si>
    <t xml:space="preserve">ヘルムホルツ共鳴を切替高調波から外すために使用</t>
  </si>
  <si>
    <r>
      <rPr>
        <sz val="10"/>
        <rFont val="WenQuanYi Zen Hei"/>
        <family val="2"/>
      </rPr>
      <t xml:space="preserve">プレナム首部 長さ  </t>
    </r>
    <r>
      <rPr>
        <sz val="10"/>
        <rFont val="Arial"/>
        <family val="0"/>
        <charset val="1"/>
      </rPr>
      <t xml:space="preserve">L_neck</t>
    </r>
  </si>
  <si>
    <r>
      <rPr>
        <b val="true"/>
        <sz val="10"/>
        <color rgb="FF1F3864"/>
        <rFont val="Arial"/>
        <family val="0"/>
        <charset val="1"/>
      </rPr>
      <t xml:space="preserve">E. </t>
    </r>
    <r>
      <rPr>
        <b val="true"/>
        <sz val="10"/>
        <color rgb="FF1F3864"/>
        <rFont val="WenQuanYi Zen Hei"/>
        <family val="2"/>
      </rPr>
      <t xml:space="preserve">物性モデルの選択 </t>
    </r>
    <r>
      <rPr>
        <b val="true"/>
        <sz val="10"/>
        <color rgb="FF1F3864"/>
        <rFont val="Arial"/>
        <family val="0"/>
        <charset val="1"/>
      </rPr>
      <t xml:space="preserve">/ Property-model options</t>
    </r>
  </si>
  <si>
    <r>
      <rPr>
        <sz val="10"/>
        <rFont val="WenQuanYi Zen Hei"/>
        <family val="2"/>
      </rPr>
      <t xml:space="preserve">交差第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ビリアル係数の補正 </t>
    </r>
    <r>
      <rPr>
        <sz val="10"/>
        <rFont val="Arial"/>
        <family val="0"/>
        <charset val="1"/>
      </rPr>
      <t xml:space="preserve">ΔB12 (CO2-H2O)</t>
    </r>
  </si>
  <si>
    <t xml:space="preserve">cm³/mol</t>
  </si>
  <si>
    <r>
      <rPr>
        <i val="true"/>
        <sz val="9"/>
        <color rgb="FF595959"/>
        <rFont val="WenQuanYi Zen Hei"/>
        <family val="2"/>
      </rPr>
      <t xml:space="preserve">★内蔵相関 </t>
    </r>
    <r>
      <rPr>
        <i val="true"/>
        <sz val="9"/>
        <color rgb="FF595959"/>
        <rFont val="Arial"/>
        <family val="0"/>
        <charset val="1"/>
      </rPr>
      <t xml:space="preserve">B12(T)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20 °C </t>
    </r>
    <r>
      <rPr>
        <i val="true"/>
        <sz val="9"/>
        <color rgb="FF595959"/>
        <rFont val="WenQuanYi Zen Hei"/>
        <family val="2"/>
      </rPr>
      <t xml:space="preserve">で −</t>
    </r>
    <r>
      <rPr>
        <i val="true"/>
        <sz val="9"/>
        <color rgb="FF595959"/>
        <rFont val="Arial"/>
        <family val="0"/>
        <charset val="1"/>
      </rPr>
      <t xml:space="preserve">235.5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30 °C </t>
    </r>
    <r>
      <rPr>
        <i val="true"/>
        <sz val="9"/>
        <color rgb="FF595959"/>
        <rFont val="WenQuanYi Zen Hei"/>
        <family val="2"/>
      </rPr>
      <t xml:space="preserve">で −</t>
    </r>
    <r>
      <rPr>
        <i val="true"/>
        <sz val="9"/>
        <color rgb="FF595959"/>
        <rFont val="Arial"/>
        <family val="0"/>
        <charset val="1"/>
      </rPr>
      <t xml:space="preserve">213.4</t>
    </r>
    <r>
      <rPr>
        <i val="true"/>
        <sz val="9"/>
        <color rgb="FF595959"/>
        <rFont val="WenQuanYi Zen Hei"/>
        <family val="2"/>
      </rPr>
      <t xml:space="preserve">）への加算値。文献ばらつき </t>
    </r>
    <r>
      <rPr>
        <i val="true"/>
        <sz val="9"/>
        <color rgb="FF595959"/>
        <rFont val="Arial"/>
        <family val="0"/>
        <charset val="1"/>
      </rPr>
      <t xml:space="preserve">±40 </t>
    </r>
    <r>
      <rPr>
        <i val="true"/>
        <sz val="9"/>
        <color rgb="FF595959"/>
        <rFont val="WenQuanYi Zen Hei"/>
        <family val="2"/>
      </rPr>
      <t xml:space="preserve">の影響を見るのに使う</t>
    </r>
  </si>
  <si>
    <r>
      <rPr>
        <sz val="10"/>
        <rFont val="WenQuanYi Zen Hei"/>
        <family val="2"/>
      </rPr>
      <t xml:space="preserve">エンハンスメント係数を適用 </t>
    </r>
    <r>
      <rPr>
        <sz val="10"/>
        <rFont val="Arial"/>
        <family val="0"/>
        <charset val="1"/>
      </rPr>
      <t xml:space="preserve">(1=</t>
    </r>
    <r>
      <rPr>
        <sz val="10"/>
        <rFont val="WenQuanYi Zen Hei"/>
        <family val="2"/>
      </rPr>
      <t xml:space="preserve">する</t>
    </r>
    <r>
      <rPr>
        <sz val="10"/>
        <rFont val="Arial"/>
        <family val="0"/>
        <charset val="1"/>
      </rPr>
      <t xml:space="preserve">/0=</t>
    </r>
    <r>
      <rPr>
        <sz val="10"/>
        <rFont val="WenQuanYi Zen Hei"/>
        <family val="2"/>
      </rPr>
      <t xml:space="preserve">しない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</si>
  <si>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0 </t>
    </r>
    <r>
      <rPr>
        <i val="true"/>
        <sz val="9"/>
        <color rgb="FF595959"/>
        <rFont val="WenQuanYi Zen Hei"/>
        <family val="2"/>
      </rPr>
      <t xml:space="preserve">にすると </t>
    </r>
    <r>
      <rPr>
        <i val="true"/>
        <sz val="9"/>
        <color rgb="FF595959"/>
        <rFont val="Arial"/>
        <family val="0"/>
        <charset val="1"/>
      </rPr>
      <t xml:space="preserve">RH = p_v/p_sat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WMO </t>
    </r>
    <r>
      <rPr>
        <i val="true"/>
        <sz val="9"/>
        <color rgb="FF595959"/>
        <rFont val="WenQuanYi Zen Hei"/>
        <family val="2"/>
      </rPr>
      <t xml:space="preserve">定義）になる</t>
    </r>
  </si>
  <si>
    <r>
      <rPr>
        <sz val="10"/>
        <rFont val="Arial"/>
        <family val="0"/>
        <charset val="1"/>
      </rPr>
      <t xml:space="preserve">CFVN Cd </t>
    </r>
    <r>
      <rPr>
        <sz val="10"/>
        <rFont val="WenQuanYi Zen Hei"/>
        <family val="2"/>
      </rPr>
      <t xml:space="preserve">相関 係数 </t>
    </r>
    <r>
      <rPr>
        <sz val="10"/>
        <rFont val="Arial"/>
        <family val="0"/>
        <charset val="1"/>
      </rPr>
      <t xml:space="preserve">a</t>
    </r>
  </si>
  <si>
    <r>
      <rPr>
        <i val="true"/>
        <sz val="9"/>
        <color rgb="FF595959"/>
        <rFont val="Arial"/>
        <family val="0"/>
        <charset val="1"/>
      </rPr>
      <t xml:space="preserve">ISO 9300:2022 </t>
    </r>
    <r>
      <rPr>
        <i val="true"/>
        <sz val="9"/>
        <color rgb="FF595959"/>
        <rFont val="WenQuanYi Zen Hei"/>
        <family val="2"/>
      </rPr>
      <t xml:space="preserve">トロイダル</t>
    </r>
    <r>
      <rPr>
        <i val="true"/>
        <sz val="9"/>
        <color rgb="FF595959"/>
        <rFont val="Arial"/>
        <family val="0"/>
        <charset val="1"/>
      </rPr>
      <t xml:space="preserve">: Cd = a − b·Re^−0.5</t>
    </r>
  </si>
  <si>
    <r>
      <rPr>
        <sz val="10"/>
        <rFont val="Arial"/>
        <family val="0"/>
        <charset val="1"/>
      </rPr>
      <t xml:space="preserve">CFVN Cd </t>
    </r>
    <r>
      <rPr>
        <sz val="10"/>
        <rFont val="WenQuanYi Zen Hei"/>
        <family val="2"/>
      </rPr>
      <t xml:space="preserve">相関 係数 </t>
    </r>
    <r>
      <rPr>
        <sz val="10"/>
        <rFont val="Arial"/>
        <family val="0"/>
        <charset val="1"/>
      </rPr>
      <t xml:space="preserve">b</t>
    </r>
  </si>
  <si>
    <r>
      <rPr>
        <i val="true"/>
        <sz val="9"/>
        <color rgb="FF595959"/>
        <rFont val="WenQuanYi Zen Hei"/>
        <family val="2"/>
      </rPr>
      <t xml:space="preserve">有効範囲 </t>
    </r>
    <r>
      <rPr>
        <i val="true"/>
        <sz val="9"/>
        <color rgb="FF595959"/>
        <rFont val="Arial"/>
        <family val="0"/>
        <charset val="1"/>
      </rPr>
      <t xml:space="preserve">2.1e4 ≤ Re ≤ 3.2e7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u(Cd)=0.3 % (k=2)</t>
    </r>
  </si>
  <si>
    <r>
      <rPr>
        <b val="true"/>
        <sz val="10"/>
        <color rgb="FF1F3864"/>
        <rFont val="Arial"/>
        <family val="0"/>
        <charset val="1"/>
      </rPr>
      <t xml:space="preserve">F. </t>
    </r>
    <r>
      <rPr>
        <b val="true"/>
        <sz val="10"/>
        <color rgb="FF1F3864"/>
        <rFont val="WenQuanYi Zen Hei"/>
        <family val="2"/>
      </rPr>
      <t xml:space="preserve">安全・換気 </t>
    </r>
    <r>
      <rPr>
        <b val="true"/>
        <sz val="10"/>
        <color rgb="FF1F3864"/>
        <rFont val="Arial"/>
        <family val="0"/>
        <charset val="1"/>
      </rPr>
      <t xml:space="preserve">/ Safety and ventilation</t>
    </r>
  </si>
  <si>
    <r>
      <rPr>
        <sz val="10"/>
        <rFont val="WenQuanYi Zen Hei"/>
        <family val="2"/>
      </rPr>
      <t xml:space="preserve">室容積  </t>
    </r>
    <r>
      <rPr>
        <sz val="10"/>
        <rFont val="Arial"/>
        <family val="0"/>
        <charset val="1"/>
      </rPr>
      <t xml:space="preserve">V_room</t>
    </r>
  </si>
  <si>
    <t xml:space="preserve">m³</t>
  </si>
  <si>
    <r>
      <rPr>
        <i val="true"/>
        <sz val="9"/>
        <color rgb="FF595959"/>
        <rFont val="WenQuanYi Zen Hei"/>
        <family val="2"/>
      </rPr>
      <t xml:space="preserve">例</t>
    </r>
    <r>
      <rPr>
        <i val="true"/>
        <sz val="9"/>
        <color rgb="FF595959"/>
        <rFont val="Arial"/>
        <family val="0"/>
        <charset val="1"/>
      </rPr>
      <t xml:space="preserve">: 5 × 4 × 2.7 m</t>
    </r>
  </si>
  <si>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管理濃度  </t>
    </r>
    <r>
      <rPr>
        <sz val="10"/>
        <rFont val="Arial"/>
        <family val="0"/>
        <charset val="1"/>
      </rPr>
      <t xml:space="preserve">C_limit</t>
    </r>
  </si>
  <si>
    <t xml:space="preserve">ppm</t>
  </si>
  <si>
    <t xml:space="preserve">ACGIH TLV-TWA / OSHA PEL = 5000 ppm</t>
  </si>
  <si>
    <r>
      <rPr>
        <sz val="10"/>
        <rFont val="WenQuanYi Zen Hei"/>
        <family val="2"/>
      </rPr>
      <t xml:space="preserve">外気 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濃度  </t>
    </r>
    <r>
      <rPr>
        <sz val="10"/>
        <rFont val="Arial"/>
        <family val="0"/>
        <charset val="1"/>
      </rPr>
      <t xml:space="preserve">C_bg</t>
    </r>
  </si>
  <si>
    <t xml:space="preserve">現在の大気中濃度</t>
  </si>
  <si>
    <r>
      <rPr>
        <sz val="10"/>
        <rFont val="WenQuanYi Zen Hei"/>
        <family val="2"/>
      </rPr>
      <t xml:space="preserve">換気 混合安全係数  </t>
    </r>
    <r>
      <rPr>
        <sz val="10"/>
        <rFont val="Arial"/>
        <family val="0"/>
        <charset val="1"/>
      </rPr>
      <t xml:space="preserve">k</t>
    </r>
  </si>
  <si>
    <r>
      <rPr>
        <i val="true"/>
        <sz val="9"/>
        <color rgb="FF595959"/>
        <rFont val="Arial"/>
        <family val="0"/>
        <charset val="1"/>
      </rPr>
      <t xml:space="preserve">EIGA Doc 44: CO2 </t>
    </r>
    <r>
      <rPr>
        <i val="true"/>
        <sz val="9"/>
        <color rgb="FF595959"/>
        <rFont val="WenQuanYi Zen Hei"/>
        <family val="2"/>
      </rPr>
      <t xml:space="preserve">は空気より重く混合が悪いため </t>
    </r>
    <r>
      <rPr>
        <i val="true"/>
        <sz val="9"/>
        <color rgb="FF595959"/>
        <rFont val="Arial"/>
        <family val="0"/>
        <charset val="1"/>
      </rPr>
      <t xml:space="preserve">k ≥ 3</t>
    </r>
  </si>
  <si>
    <r>
      <rPr>
        <i val="true"/>
        <sz val="9"/>
        <color rgb="FF595959"/>
        <rFont val="WenQuanYi Zen Hei"/>
        <family val="2"/>
      </rPr>
      <t xml:space="preserve">凡例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黄色セル＋青字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入力値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黒字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数式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赤字＋橙セル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主要な結果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灰色斜体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注記・出典</t>
    </r>
  </si>
  <si>
    <r>
      <rPr>
        <i val="true"/>
        <sz val="9"/>
        <color rgb="FF595959"/>
        <rFont val="WenQuanYi Zen Hei"/>
        <family val="2"/>
      </rPr>
      <t xml:space="preserve">★印は設計上とくに感度の高いパラメータです。</t>
    </r>
    <r>
      <rPr>
        <i val="true"/>
        <sz val="9"/>
        <color rgb="FF595959"/>
        <rFont val="Arial"/>
        <family val="0"/>
        <charset val="1"/>
      </rPr>
      <t xml:space="preserve">09_</t>
    </r>
    <r>
      <rPr>
        <i val="true"/>
        <sz val="9"/>
        <color rgb="FF595959"/>
        <rFont val="WenQuanYi Zen Hei"/>
        <family val="2"/>
      </rPr>
      <t xml:space="preserve">感度解析 シートで影響度を確認してください。</t>
    </r>
  </si>
  <si>
    <r>
      <rPr>
        <b val="true"/>
        <sz val="14"/>
        <color rgb="FF1F3864"/>
        <rFont val="WenQuanYi Zen Hei"/>
        <family val="2"/>
      </rPr>
      <t xml:space="preserve">物性相関 </t>
    </r>
    <r>
      <rPr>
        <b val="true"/>
        <sz val="14"/>
        <color rgb="FF1F3864"/>
        <rFont val="Arial"/>
        <family val="0"/>
        <charset val="1"/>
      </rPr>
      <t xml:space="preserve">/ Property correlations (reference table)</t>
    </r>
  </si>
  <si>
    <r>
      <rPr>
        <i val="true"/>
        <sz val="9"/>
        <color rgb="FF595959"/>
        <rFont val="WenQuanYi Zen Hei"/>
        <family val="2"/>
      </rPr>
      <t xml:space="preserve">本ブックが内部で使う相関式の一覧表。すべて第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ビリアル展開による実在気体評価で、</t>
    </r>
    <r>
      <rPr>
        <i val="true"/>
        <sz val="9"/>
        <color rgb="FF595959"/>
        <rFont val="Arial"/>
        <family val="0"/>
        <charset val="1"/>
      </rPr>
      <t xml:space="preserve">Span–Wagner </t>
    </r>
    <r>
      <rPr>
        <i val="true"/>
        <sz val="9"/>
        <color rgb="FF595959"/>
        <rFont val="WenQuanYi Zen Hei"/>
        <family val="2"/>
      </rPr>
      <t xml:space="preserve">に対し </t>
    </r>
    <r>
      <rPr>
        <i val="true"/>
        <sz val="9"/>
        <color rgb="FF595959"/>
        <rFont val="Arial"/>
        <family val="0"/>
        <charset val="1"/>
      </rPr>
      <t xml:space="preserve">0.2 % </t>
    </r>
    <r>
      <rPr>
        <i val="true"/>
        <sz val="9"/>
        <color rgb="FF595959"/>
        <rFont val="WenQuanYi Zen Hei"/>
        <family val="2"/>
      </rPr>
      <t xml:space="preserve">以内。</t>
    </r>
  </si>
  <si>
    <t xml:space="preserve">T [°C]</t>
  </si>
  <si>
    <t xml:space="preserve">p_sat [Pa]</t>
  </si>
  <si>
    <t xml:space="preserve">B_CO2 [cm³/mol]</t>
  </si>
  <si>
    <t xml:space="preserve">B12 [cm³/mol]</t>
  </si>
  <si>
    <t xml:space="preserve">B_ww [cm³/mol]</t>
  </si>
  <si>
    <t xml:space="preserve">Z (1 atm)</t>
  </si>
  <si>
    <t xml:space="preserve">Z (300 kPa)</t>
  </si>
  <si>
    <t xml:space="preserve">cp [J/mol·K]</t>
  </si>
  <si>
    <t xml:space="preserve">γ (1 atm)</t>
  </si>
  <si>
    <t xml:space="preserve">μ [µPa·s]</t>
  </si>
  <si>
    <t xml:space="preserve">k [mW/m·K]</t>
  </si>
  <si>
    <r>
      <rPr>
        <b val="true"/>
        <sz val="11"/>
        <color rgb="FFFFFFFF"/>
        <rFont val="Arial"/>
        <family val="0"/>
        <charset val="1"/>
      </rPr>
      <t xml:space="preserve">μ_JT [K/bar] / </t>
    </r>
    <r>
      <rPr>
        <b val="true"/>
        <sz val="11"/>
        <color rgb="FFFFFFFF"/>
        <rFont val="WenQuanYi Zen Hei"/>
        <family val="2"/>
      </rPr>
      <t xml:space="preserve">音速 </t>
    </r>
    <r>
      <rPr>
        <b val="true"/>
        <sz val="11"/>
        <color rgb="FFFFFFFF"/>
        <rFont val="Arial"/>
        <family val="0"/>
        <charset val="1"/>
      </rPr>
      <t xml:space="preserve">[m/s]</t>
    </r>
  </si>
  <si>
    <t xml:space="preserve">出典</t>
  </si>
  <si>
    <t xml:space="preserve">B</t>
  </si>
  <si>
    <r>
      <rPr>
        <i val="true"/>
        <sz val="9"/>
        <color rgb="FF595959"/>
        <rFont val="Arial"/>
        <family val="0"/>
        <charset val="1"/>
      </rPr>
      <t xml:space="preserve">Wagner &amp; Pruß (IAPWS-95) </t>
    </r>
    <r>
      <rPr>
        <i val="true"/>
        <sz val="9"/>
        <color rgb="FF595959"/>
        <rFont val="WenQuanYi Zen Hei"/>
        <family val="2"/>
      </rPr>
      <t xml:space="preserve">蒸気圧式</t>
    </r>
  </si>
  <si>
    <t xml:space="preserve">C</t>
  </si>
  <si>
    <r>
      <rPr>
        <i val="true"/>
        <sz val="9"/>
        <color rgb="FF595959"/>
        <rFont val="Arial"/>
        <family val="0"/>
        <charset val="1"/>
      </rPr>
      <t xml:space="preserve">Span &amp; Wagner (1996) </t>
    </r>
    <r>
      <rPr>
        <i val="true"/>
        <sz val="9"/>
        <color rgb="FF595959"/>
        <rFont val="WenQuanYi Zen Hei"/>
        <family val="2"/>
      </rPr>
      <t xml:space="preserve">零密度極限へのフィット</t>
    </r>
  </si>
  <si>
    <t xml:space="preserve">D</t>
  </si>
  <si>
    <t xml:space="preserve">Meyer &amp; Harvey (2015) / Wheatley &amp; Harvey (2011,2016)</t>
  </si>
  <si>
    <t xml:space="preserve">E</t>
  </si>
  <si>
    <r>
      <rPr>
        <i val="true"/>
        <sz val="9"/>
        <color rgb="FF595959"/>
        <rFont val="Arial"/>
        <family val="0"/>
        <charset val="1"/>
      </rPr>
      <t xml:space="preserve">IAPWS-95 </t>
    </r>
    <r>
      <rPr>
        <i val="true"/>
        <sz val="9"/>
        <color rgb="FF595959"/>
        <rFont val="WenQuanYi Zen Hei"/>
        <family val="2"/>
      </rPr>
      <t xml:space="preserve">零密度極限へのフィット</t>
    </r>
  </si>
  <si>
    <t xml:space="preserve">F</t>
  </si>
  <si>
    <r>
      <rPr>
        <i val="true"/>
        <sz val="9"/>
        <color rgb="FF595959"/>
        <rFont val="Arial"/>
        <family val="0"/>
        <charset val="1"/>
      </rPr>
      <t xml:space="preserve">Z = 1 + B·p/(R·T)</t>
    </r>
    <r>
      <rPr>
        <i val="true"/>
        <sz val="9"/>
        <color rgb="FF595959"/>
        <rFont val="WenQuanYi Zen Hei"/>
        <family val="2"/>
      </rPr>
      <t xml:space="preserve">（打切りビリアル）</t>
    </r>
  </si>
  <si>
    <t xml:space="preserve">G</t>
  </si>
  <si>
    <r>
      <rPr>
        <i val="true"/>
        <sz val="9"/>
        <color rgb="FF595959"/>
        <rFont val="WenQuanYi Zen Hei"/>
        <family val="2"/>
      </rPr>
      <t xml:space="preserve">同上。</t>
    </r>
    <r>
      <rPr>
        <i val="true"/>
        <sz val="9"/>
        <color rgb="FF595959"/>
        <rFont val="Arial"/>
        <family val="0"/>
        <charset val="1"/>
      </rPr>
      <t xml:space="preserve">400 kPa </t>
    </r>
    <r>
      <rPr>
        <i val="true"/>
        <sz val="9"/>
        <color rgb="FF595959"/>
        <rFont val="WenQuanYi Zen Hei"/>
        <family val="2"/>
      </rPr>
      <t xml:space="preserve">まで </t>
    </r>
    <r>
      <rPr>
        <i val="true"/>
        <sz val="9"/>
        <color rgb="FF595959"/>
        <rFont val="Arial"/>
        <family val="0"/>
        <charset val="1"/>
      </rPr>
      <t xml:space="preserve">Span–Wagner </t>
    </r>
    <r>
      <rPr>
        <i val="true"/>
        <sz val="9"/>
        <color rgb="FF595959"/>
        <rFont val="WenQuanYi Zen Hei"/>
        <family val="2"/>
      </rPr>
      <t xml:space="preserve">に対し </t>
    </r>
    <r>
      <rPr>
        <i val="true"/>
        <sz val="9"/>
        <color rgb="FF595959"/>
        <rFont val="Arial"/>
        <family val="0"/>
        <charset val="1"/>
      </rPr>
      <t xml:space="preserve">0.04 % </t>
    </r>
    <r>
      <rPr>
        <i val="true"/>
        <sz val="9"/>
        <color rgb="FF595959"/>
        <rFont val="WenQuanYi Zen Hei"/>
        <family val="2"/>
      </rPr>
      <t xml:space="preserve">以内</t>
    </r>
  </si>
  <si>
    <t xml:space="preserve">H</t>
  </si>
  <si>
    <t xml:space="preserve">cp = cp0 − T·B''·p</t>
  </si>
  <si>
    <t xml:space="preserve">I</t>
  </si>
  <si>
    <r>
      <rPr>
        <i val="true"/>
        <sz val="9"/>
        <color rgb="FF595959"/>
        <rFont val="Arial"/>
        <family val="0"/>
        <charset val="1"/>
      </rPr>
      <t xml:space="preserve">γ = cp/cv</t>
    </r>
    <r>
      <rPr>
        <i val="true"/>
        <sz val="9"/>
        <color rgb="FF595959"/>
        <rFont val="WenQuanYi Zen Hei"/>
        <family val="2"/>
      </rPr>
      <t xml:space="preserve">（圧力依存。</t>
    </r>
    <r>
      <rPr>
        <i val="true"/>
        <sz val="9"/>
        <color rgb="FF595959"/>
        <rFont val="Arial"/>
        <family val="0"/>
        <charset val="1"/>
      </rPr>
      <t xml:space="preserve">1 bar→4 bar </t>
    </r>
    <r>
      <rPr>
        <i val="true"/>
        <sz val="9"/>
        <color rgb="FF595959"/>
        <rFont val="WenQuanYi Zen Hei"/>
        <family val="2"/>
      </rPr>
      <t xml:space="preserve">で </t>
    </r>
    <r>
      <rPr>
        <i val="true"/>
        <sz val="9"/>
        <color rgb="FF595959"/>
        <rFont val="Arial"/>
        <family val="0"/>
        <charset val="1"/>
      </rPr>
      <t xml:space="preserve">1.4 % </t>
    </r>
    <r>
      <rPr>
        <i val="true"/>
        <sz val="9"/>
        <color rgb="FF595959"/>
        <rFont val="WenQuanYi Zen Hei"/>
        <family val="2"/>
      </rPr>
      <t xml:space="preserve">増）</t>
    </r>
  </si>
  <si>
    <t xml:space="preserve">J</t>
  </si>
  <si>
    <t xml:space="preserve">Fenghour et al. (1998)</t>
  </si>
  <si>
    <t xml:space="preserve">K</t>
  </si>
  <si>
    <r>
      <rPr>
        <i val="true"/>
        <sz val="9"/>
        <color rgb="FF595959"/>
        <rFont val="Arial"/>
        <family val="0"/>
        <charset val="1"/>
      </rPr>
      <t xml:space="preserve">Huber et al. (2016)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u = 1 % (k=2)</t>
    </r>
  </si>
  <si>
    <t xml:space="preserve">μ_JT = (T·dB/dT − B)/cp0</t>
  </si>
  <si>
    <r>
      <rPr>
        <b val="true"/>
        <sz val="14"/>
        <color rgb="FF1F3864"/>
        <rFont val="WenQuanYi Zen Hei"/>
        <family val="2"/>
      </rPr>
      <t xml:space="preserve">湿度状態点の連鎖 </t>
    </r>
    <r>
      <rPr>
        <b val="true"/>
        <sz val="14"/>
        <color rgb="FF1F3864"/>
        <rFont val="Arial"/>
        <family val="0"/>
        <charset val="1"/>
      </rPr>
      <t xml:space="preserve">/ Humid-gas state points along the process chain</t>
    </r>
  </si>
  <si>
    <r>
      <rPr>
        <sz val="10"/>
        <rFont val="Arial"/>
        <family val="0"/>
        <charset val="1"/>
      </rPr>
      <t xml:space="preserve">JT</t>
    </r>
    <r>
      <rPr>
        <sz val="10"/>
        <rFont val="WenQuanYi Zen Hei"/>
        <family val="2"/>
      </rPr>
      <t xml:space="preserve">膨張による温度降下 </t>
    </r>
    <r>
      <rPr>
        <sz val="10"/>
        <rFont val="Arial"/>
        <family val="0"/>
        <charset val="1"/>
      </rPr>
      <t xml:space="preserve">ΔT_JT</t>
    </r>
  </si>
  <si>
    <r>
      <rPr>
        <i val="true"/>
        <sz val="9"/>
        <color rgb="FF595959"/>
        <rFont val="Arial"/>
        <family val="0"/>
        <charset val="1"/>
      </rPr>
      <t xml:space="preserve">μ_JT(CO2, 20 °C) ≈ 1.14 K/bar </t>
    </r>
    <r>
      <rPr>
        <i val="true"/>
        <sz val="9"/>
        <color rgb="FF595959"/>
        <rFont val="WenQuanYi Zen Hei"/>
        <family val="2"/>
      </rPr>
      <t xml:space="preserve">は空気の約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倍。零密度極限 </t>
    </r>
    <r>
      <rPr>
        <i val="true"/>
        <sz val="9"/>
        <color rgb="FF595959"/>
        <rFont val="Arial"/>
        <family val="0"/>
        <charset val="1"/>
      </rPr>
      <t xml:space="preserve">(T·dB/dT − B)/cp0</t>
    </r>
    <r>
      <rPr>
        <i val="true"/>
        <sz val="9"/>
        <color rgb="FF595959"/>
        <rFont val="WenQuanYi Zen Hei"/>
        <family val="2"/>
      </rPr>
      <t xml:space="preserve">。両端点の平均を使用</t>
    </r>
  </si>
  <si>
    <r>
      <rPr>
        <i val="true"/>
        <sz val="9"/>
        <color rgb="FF595959"/>
        <rFont val="WenQuanYi Zen Hei"/>
        <family val="2"/>
      </rPr>
      <t xml:space="preserve">  （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次近似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入口側 </t>
    </r>
    <r>
      <rPr>
        <i val="true"/>
        <sz val="9"/>
        <color rgb="FF595959"/>
        <rFont val="Arial"/>
        <family val="0"/>
        <charset val="1"/>
      </rPr>
      <t xml:space="preserve">μ_JT </t>
    </r>
    <r>
      <rPr>
        <i val="true"/>
        <sz val="9"/>
        <color rgb="FF595959"/>
        <rFont val="WenQuanYi Zen Hei"/>
        <family val="2"/>
      </rPr>
      <t xml:space="preserve">のみ）</t>
    </r>
  </si>
  <si>
    <r>
      <rPr>
        <b val="true"/>
        <sz val="11"/>
        <color rgb="FFFFFFFF"/>
        <rFont val="WenQuanYi Zen Hei"/>
        <family val="2"/>
      </rPr>
      <t xml:space="preserve">量 </t>
    </r>
    <r>
      <rPr>
        <b val="true"/>
        <sz val="11"/>
        <color rgb="FFFFFFFF"/>
        <rFont val="Arial"/>
        <family val="0"/>
        <charset val="1"/>
      </rPr>
      <t xml:space="preserve">/ quantity</t>
    </r>
  </si>
  <si>
    <t xml:space="preserve">単位</t>
  </si>
  <si>
    <r>
      <rPr>
        <b val="true"/>
        <sz val="11"/>
        <color rgb="FFFFFFFF"/>
        <rFont val="Arial"/>
        <family val="0"/>
        <charset val="1"/>
      </rPr>
      <t xml:space="preserve">S1 </t>
    </r>
    <r>
      <rPr>
        <b val="true"/>
        <sz val="11"/>
        <color rgb="FFFFFFFF"/>
        <rFont val="WenQuanYi Zen Hei"/>
        <family val="2"/>
      </rPr>
      <t xml:space="preserve">飽和器出口</t>
    </r>
  </si>
  <si>
    <r>
      <rPr>
        <b val="true"/>
        <sz val="11"/>
        <color rgb="FFFFFFFF"/>
        <rFont val="Arial"/>
        <family val="0"/>
        <charset val="1"/>
      </rPr>
      <t xml:space="preserve">S2 </t>
    </r>
    <r>
      <rPr>
        <b val="true"/>
        <sz val="11"/>
        <color rgb="FFFFFFFF"/>
        <rFont val="WenQuanYi Zen Hei"/>
        <family val="2"/>
      </rPr>
      <t xml:space="preserve">ノズル上流</t>
    </r>
  </si>
  <si>
    <r>
      <rPr>
        <b val="true"/>
        <sz val="11"/>
        <color rgb="FFFFFFFF"/>
        <rFont val="Arial"/>
        <family val="0"/>
        <charset val="1"/>
      </rPr>
      <t xml:space="preserve">S3 </t>
    </r>
    <r>
      <rPr>
        <b val="true"/>
        <sz val="11"/>
        <color rgb="FFFFFFFF"/>
        <rFont val="WenQuanYi Zen Hei"/>
        <family val="2"/>
      </rPr>
      <t xml:space="preserve">ノズル下流</t>
    </r>
  </si>
  <si>
    <r>
      <rPr>
        <b val="true"/>
        <sz val="11"/>
        <color rgb="FFFFFFFF"/>
        <rFont val="Arial"/>
        <family val="0"/>
        <charset val="1"/>
      </rPr>
      <t xml:space="preserve">S4 </t>
    </r>
    <r>
      <rPr>
        <b val="true"/>
        <sz val="11"/>
        <color rgb="FFFFFFFF"/>
        <rFont val="WenQuanYi Zen Hei"/>
        <family val="2"/>
      </rPr>
      <t xml:space="preserve">出力段</t>
    </r>
  </si>
  <si>
    <t xml:space="preserve">目標値</t>
  </si>
  <si>
    <r>
      <rPr>
        <b val="true"/>
        <sz val="11"/>
        <color rgb="FFFFFFFF"/>
        <rFont val="WenQuanYi Zen Hei"/>
        <family val="2"/>
      </rPr>
      <t xml:space="preserve">備考 </t>
    </r>
    <r>
      <rPr>
        <b val="true"/>
        <sz val="11"/>
        <color rgb="FFFFFFFF"/>
        <rFont val="Arial"/>
        <family val="0"/>
        <charset val="1"/>
      </rPr>
      <t xml:space="preserve">/ note</t>
    </r>
  </si>
  <si>
    <t xml:space="preserve">説明</t>
  </si>
  <si>
    <r>
      <rPr>
        <sz val="10"/>
        <rFont val="WenQuanYi Zen Hei"/>
        <family val="2"/>
      </rPr>
      <t xml:space="preserve">飽和器を出た加湿</t>
    </r>
    <r>
      <rPr>
        <sz val="10"/>
        <rFont val="Arial"/>
        <family val="0"/>
        <charset val="1"/>
      </rPr>
      <t xml:space="preserve">CO2</t>
    </r>
  </si>
  <si>
    <t xml:space="preserve">トレース加熱された一次側</t>
  </si>
  <si>
    <t xml:space="preserve">臨界ノズル直下流</t>
  </si>
  <si>
    <t xml:space="preserve">恒温化された出力段</t>
  </si>
  <si>
    <r>
      <rPr>
        <sz val="10"/>
        <rFont val="WenQuanYi Zen Hei"/>
        <family val="2"/>
      </rPr>
      <t xml:space="preserve">温度 </t>
    </r>
    <r>
      <rPr>
        <sz val="10"/>
        <rFont val="Arial"/>
        <family val="0"/>
        <charset val="1"/>
      </rPr>
      <t xml:space="preserve">T</t>
    </r>
  </si>
  <si>
    <r>
      <rPr>
        <i val="true"/>
        <sz val="9"/>
        <color rgb="FF595959"/>
        <rFont val="Arial"/>
        <family val="0"/>
        <charset val="1"/>
      </rPr>
      <t xml:space="preserve">S3 = S2 </t>
    </r>
    <r>
      <rPr>
        <i val="true"/>
        <sz val="9"/>
        <color rgb="FF595959"/>
        <rFont val="WenQuanYi Zen Hei"/>
        <family val="2"/>
      </rPr>
      <t xml:space="preserve">から等エンタルピ膨張しただけの温度</t>
    </r>
  </si>
  <si>
    <r>
      <rPr>
        <sz val="10"/>
        <rFont val="WenQuanYi Zen Hei"/>
        <family val="2"/>
      </rPr>
      <t xml:space="preserve">絶対圧 </t>
    </r>
    <r>
      <rPr>
        <sz val="10"/>
        <rFont val="Arial"/>
        <family val="0"/>
        <charset val="1"/>
      </rPr>
      <t xml:space="preserve">p</t>
    </r>
  </si>
  <si>
    <t xml:space="preserve">Pa</t>
  </si>
  <si>
    <r>
      <rPr>
        <sz val="10"/>
        <rFont val="WenQuanYi Zen Hei"/>
        <family val="2"/>
      </rPr>
      <t xml:space="preserve">飽和水蒸気圧 </t>
    </r>
    <r>
      <rPr>
        <sz val="10"/>
        <rFont val="Arial"/>
        <family val="0"/>
        <charset val="1"/>
      </rPr>
      <t xml:space="preserve">p_sat(T)</t>
    </r>
  </si>
  <si>
    <r>
      <rPr>
        <i val="true"/>
        <sz val="9"/>
        <color rgb="FF595959"/>
        <rFont val="Arial"/>
        <family val="0"/>
        <charset val="1"/>
      </rPr>
      <t xml:space="preserve">Wagner &amp; Pruß (IAPWS-95) </t>
    </r>
    <r>
      <rPr>
        <i val="true"/>
        <sz val="9"/>
        <color rgb="FF595959"/>
        <rFont val="WenQuanYi Zen Hei"/>
        <family val="2"/>
      </rPr>
      <t xml:space="preserve">蒸気圧式。</t>
    </r>
    <r>
      <rPr>
        <i val="true"/>
        <sz val="9"/>
        <color rgb="FF595959"/>
        <rFont val="Arial"/>
        <family val="0"/>
        <charset val="1"/>
      </rPr>
      <t xml:space="preserve">IAPWS-95 </t>
    </r>
    <r>
      <rPr>
        <i val="true"/>
        <sz val="9"/>
        <color rgb="FF595959"/>
        <rFont val="WenQuanYi Zen Hei"/>
        <family val="2"/>
      </rPr>
      <t xml:space="preserve">に対し </t>
    </r>
    <r>
      <rPr>
        <i val="true"/>
        <sz val="9"/>
        <color rgb="FF595959"/>
        <rFont val="Arial"/>
        <family val="0"/>
        <charset val="1"/>
      </rPr>
      <t xml:space="preserve">70 ppm </t>
    </r>
    <r>
      <rPr>
        <i val="true"/>
        <sz val="9"/>
        <color rgb="FF595959"/>
        <rFont val="WenQuanYi Zen Hei"/>
        <family val="2"/>
      </rPr>
      <t xml:space="preserve">以内</t>
    </r>
  </si>
  <si>
    <r>
      <rPr>
        <sz val="10"/>
        <rFont val="Arial"/>
        <family val="0"/>
        <charset val="1"/>
      </rPr>
      <t xml:space="preserve">  B_ww </t>
    </r>
    <r>
      <rPr>
        <sz val="10"/>
        <rFont val="WenQuanYi Zen Hei"/>
        <family val="2"/>
      </rPr>
      <t xml:space="preserve">水蒸気 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ビリアル</t>
    </r>
  </si>
  <si>
    <t xml:space="preserve">m³/mol</t>
  </si>
  <si>
    <r>
      <rPr>
        <sz val="10"/>
        <rFont val="Arial"/>
        <family val="0"/>
        <charset val="1"/>
      </rPr>
      <t xml:space="preserve">  B_CO2 CO2 </t>
    </r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ビリアル</t>
    </r>
  </si>
  <si>
    <r>
      <rPr>
        <i val="true"/>
        <sz val="9"/>
        <color rgb="FF595959"/>
        <rFont val="Arial"/>
        <family val="0"/>
        <charset val="1"/>
      </rPr>
      <t xml:space="preserve">Span &amp; Wagner (1996) </t>
    </r>
    <r>
      <rPr>
        <i val="true"/>
        <sz val="9"/>
        <color rgb="FF595959"/>
        <rFont val="WenQuanYi Zen Hei"/>
        <family val="2"/>
      </rPr>
      <t xml:space="preserve">へのフィット。</t>
    </r>
    <r>
      <rPr>
        <i val="true"/>
        <sz val="9"/>
        <color rgb="FF595959"/>
        <rFont val="Arial"/>
        <family val="0"/>
        <charset val="1"/>
      </rPr>
      <t xml:space="preserve">20 °C </t>
    </r>
    <r>
      <rPr>
        <i val="true"/>
        <sz val="9"/>
        <color rgb="FF595959"/>
        <rFont val="WenQuanYi Zen Hei"/>
        <family val="2"/>
      </rPr>
      <t xml:space="preserve">で −</t>
    </r>
    <r>
      <rPr>
        <i val="true"/>
        <sz val="9"/>
        <color rgb="FF595959"/>
        <rFont val="Arial"/>
        <family val="0"/>
        <charset val="1"/>
      </rPr>
      <t xml:space="preserve">127.9 cm³/mol</t>
    </r>
  </si>
  <si>
    <r>
      <rPr>
        <sz val="10"/>
        <rFont val="Arial"/>
        <family val="0"/>
        <charset val="1"/>
      </rPr>
      <t xml:space="preserve">  B12 CO2–H2O </t>
    </r>
    <r>
      <rPr>
        <sz val="10"/>
        <rFont val="WenQuanYi Zen Hei"/>
        <family val="2"/>
      </rPr>
      <t xml:space="preserve">交差ビリアル</t>
    </r>
  </si>
  <si>
    <r>
      <rPr>
        <i val="true"/>
        <sz val="9"/>
        <color rgb="FF595959"/>
        <rFont val="WenQuanYi Zen Hei"/>
        <family val="2"/>
      </rPr>
      <t xml:space="preserve">★温度依存。</t>
    </r>
    <r>
      <rPr>
        <i val="true"/>
        <sz val="9"/>
        <color rgb="FF595959"/>
        <rFont val="Arial"/>
        <family val="0"/>
        <charset val="1"/>
      </rPr>
      <t xml:space="preserve">20 °C </t>
    </r>
    <r>
      <rPr>
        <i val="true"/>
        <sz val="9"/>
        <color rgb="FF595959"/>
        <rFont val="WenQuanYi Zen Hei"/>
        <family val="2"/>
      </rPr>
      <t xml:space="preserve">で −</t>
    </r>
    <r>
      <rPr>
        <i val="true"/>
        <sz val="9"/>
        <color rgb="FF595959"/>
        <rFont val="Arial"/>
        <family val="0"/>
        <charset val="1"/>
      </rPr>
      <t xml:space="preserve">235.5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30 °C </t>
    </r>
    <r>
      <rPr>
        <i val="true"/>
        <sz val="9"/>
        <color rgb="FF595959"/>
        <rFont val="WenQuanYi Zen Hei"/>
        <family val="2"/>
      </rPr>
      <t xml:space="preserve">で −</t>
    </r>
    <r>
      <rPr>
        <i val="true"/>
        <sz val="9"/>
        <color rgb="FF595959"/>
        <rFont val="Arial"/>
        <family val="0"/>
        <charset val="1"/>
      </rPr>
      <t xml:space="preserve">213.4 cm³/mol</t>
    </r>
    <r>
      <rPr>
        <i val="true"/>
        <sz val="9"/>
        <color rgb="FF595959"/>
        <rFont val="WenQuanYi Zen Hei"/>
        <family val="2"/>
      </rPr>
      <t xml:space="preserve">。空気–水 </t>
    </r>
    <r>
      <rPr>
        <i val="true"/>
        <sz val="9"/>
        <color rgb="FF595959"/>
        <rFont val="Arial"/>
        <family val="0"/>
        <charset val="1"/>
      </rPr>
      <t xml:space="preserve">(−32) </t>
    </r>
    <r>
      <rPr>
        <i val="true"/>
        <sz val="9"/>
        <color rgb="FF595959"/>
        <rFont val="WenQuanYi Zen Hei"/>
        <family val="2"/>
      </rPr>
      <t xml:space="preserve">の約</t>
    </r>
    <r>
      <rPr>
        <i val="true"/>
        <sz val="9"/>
        <color rgb="FF595959"/>
        <rFont val="Arial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倍で、</t>
    </r>
    <r>
      <rPr>
        <i val="true"/>
        <sz val="9"/>
        <color rgb="FF595959"/>
        <rFont val="Arial"/>
        <family val="0"/>
        <charset val="1"/>
      </rPr>
      <t xml:space="preserve">f </t>
    </r>
    <r>
      <rPr>
        <i val="true"/>
        <sz val="9"/>
        <color rgb="FF595959"/>
        <rFont val="WenQuanYi Zen Hei"/>
        <family val="2"/>
      </rPr>
      <t xml:space="preserve">を支配する</t>
    </r>
  </si>
  <si>
    <r>
      <rPr>
        <sz val="10"/>
        <rFont val="Arial"/>
        <family val="0"/>
        <charset val="1"/>
      </rPr>
      <t xml:space="preserve">  v_wL </t>
    </r>
    <r>
      <rPr>
        <sz val="10"/>
        <rFont val="WenQuanYi Zen Hei"/>
        <family val="2"/>
      </rPr>
      <t xml:space="preserve">液体水モル体積</t>
    </r>
  </si>
  <si>
    <r>
      <rPr>
        <i val="true"/>
        <sz val="9"/>
        <color rgb="FF595959"/>
        <rFont val="Arial"/>
        <family val="0"/>
        <charset val="1"/>
      </rPr>
      <t xml:space="preserve">Kell (1975) </t>
    </r>
    <r>
      <rPr>
        <i val="true"/>
        <sz val="9"/>
        <color rgb="FF595959"/>
        <rFont val="WenQuanYi Zen Hei"/>
        <family val="2"/>
      </rPr>
      <t xml:space="preserve">密度式</t>
    </r>
  </si>
  <si>
    <r>
      <rPr>
        <sz val="10"/>
        <rFont val="Arial"/>
        <family val="0"/>
        <charset val="1"/>
      </rPr>
      <t xml:space="preserve">  k_H CO2 </t>
    </r>
    <r>
      <rPr>
        <sz val="10"/>
        <rFont val="WenQuanYi Zen Hei"/>
        <family val="2"/>
      </rPr>
      <t xml:space="preserve">ヘンリー定数</t>
    </r>
  </si>
  <si>
    <r>
      <rPr>
        <i val="true"/>
        <sz val="9"/>
        <color rgb="FF595959"/>
        <rFont val="Arial"/>
        <family val="0"/>
        <charset val="1"/>
      </rPr>
      <t xml:space="preserve">IAPWS G7-04</t>
    </r>
    <r>
      <rPr>
        <i val="true"/>
        <sz val="9"/>
        <color rgb="FF595959"/>
        <rFont val="WenQuanYi Zen Hei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20 °C </t>
    </r>
    <r>
      <rPr>
        <i val="true"/>
        <sz val="9"/>
        <color rgb="FF595959"/>
        <rFont val="WenQuanYi Zen Hei"/>
        <family val="2"/>
      </rPr>
      <t xml:space="preserve">で </t>
    </r>
    <r>
      <rPr>
        <i val="true"/>
        <sz val="9"/>
        <color rgb="FF595959"/>
        <rFont val="Arial"/>
        <family val="0"/>
        <charset val="1"/>
      </rPr>
      <t xml:space="preserve">145 MPa</t>
    </r>
  </si>
  <si>
    <r>
      <rPr>
        <sz val="10"/>
        <rFont val="Arial"/>
        <family val="0"/>
        <charset val="1"/>
      </rPr>
      <t xml:space="preserve">  ln a_w </t>
    </r>
    <r>
      <rPr>
        <sz val="10"/>
        <rFont val="WenQuanYi Zen Hei"/>
        <family val="2"/>
      </rPr>
      <t xml:space="preserve">水の活量（</t>
    </r>
    <r>
      <rPr>
        <sz val="10"/>
        <rFont val="Arial"/>
        <family val="0"/>
        <charset val="1"/>
      </rPr>
      <t xml:space="preserve">CO2</t>
    </r>
    <r>
      <rPr>
        <sz val="10"/>
        <rFont val="WenQuanYi Zen Hei"/>
        <family val="2"/>
      </rPr>
      <t xml:space="preserve">溶解）</t>
    </r>
  </si>
  <si>
    <r>
      <rPr>
        <i val="true"/>
        <sz val="9"/>
        <color rgb="FF595959"/>
        <rFont val="WenQuanYi Zen Hei"/>
        <family val="2"/>
      </rPr>
      <t xml:space="preserve">溶存</t>
    </r>
    <r>
      <rPr>
        <i val="true"/>
        <sz val="9"/>
        <color rgb="FF595959"/>
        <rFont val="Arial"/>
        <family val="0"/>
        <charset val="1"/>
      </rPr>
      <t xml:space="preserve">CO2</t>
    </r>
    <r>
      <rPr>
        <i val="true"/>
        <sz val="9"/>
        <color rgb="FF595959"/>
        <rFont val="WenQuanYi Zen Hei"/>
        <family val="2"/>
      </rPr>
      <t xml:space="preserve">が </t>
    </r>
    <r>
      <rPr>
        <i val="true"/>
        <sz val="9"/>
        <color rgb="FF595959"/>
        <rFont val="Arial"/>
        <family val="0"/>
        <charset val="1"/>
      </rPr>
      <t xml:space="preserve">a_w </t>
    </r>
    <r>
      <rPr>
        <i val="true"/>
        <sz val="9"/>
        <color rgb="FF595959"/>
        <rFont val="WenQuanYi Zen Hei"/>
        <family val="2"/>
      </rPr>
      <t xml:space="preserve">を下げ </t>
    </r>
    <r>
      <rPr>
        <i val="true"/>
        <sz val="9"/>
        <color rgb="FF595959"/>
        <rFont val="Arial"/>
        <family val="0"/>
        <charset val="1"/>
      </rPr>
      <t xml:space="preserve">f </t>
    </r>
    <r>
      <rPr>
        <i val="true"/>
        <sz val="9"/>
        <color rgb="FF595959"/>
        <rFont val="WenQuanYi Zen Hei"/>
        <family val="2"/>
      </rPr>
      <t xml:space="preserve">を下げる（</t>
    </r>
    <r>
      <rPr>
        <i val="true"/>
        <sz val="9"/>
        <color rgb="FF595959"/>
        <rFont val="Arial"/>
        <family val="0"/>
        <charset val="1"/>
      </rPr>
      <t xml:space="preserve">121 kPa </t>
    </r>
    <r>
      <rPr>
        <i val="true"/>
        <sz val="9"/>
        <color rgb="FF595959"/>
        <rFont val="WenQuanYi Zen Hei"/>
        <family val="2"/>
      </rPr>
      <t xml:space="preserve">で −</t>
    </r>
    <r>
      <rPr>
        <i val="true"/>
        <sz val="9"/>
        <color rgb="FF595959"/>
        <rFont val="Arial"/>
        <family val="0"/>
        <charset val="1"/>
      </rPr>
      <t xml:space="preserve">0.07 %</t>
    </r>
    <r>
      <rPr>
        <i val="true"/>
        <sz val="9"/>
        <color rgb="FF595959"/>
        <rFont val="WenQuanYi Zen Hei"/>
        <family val="2"/>
      </rPr>
      <t xml:space="preserve">）。空気なら無視可</t>
    </r>
  </si>
  <si>
    <t xml:space="preserve">  ln φ_sat</t>
  </si>
  <si>
    <r>
      <rPr>
        <sz val="10"/>
        <rFont val="Arial"/>
        <family val="0"/>
        <charset val="1"/>
      </rPr>
      <t xml:space="preserve">  Poynting </t>
    </r>
    <r>
      <rPr>
        <sz val="10"/>
        <rFont val="WenQuanYi Zen Hei"/>
        <family val="2"/>
      </rPr>
      <t xml:space="preserve">項</t>
    </r>
  </si>
  <si>
    <t xml:space="preserve">液相が全圧で圧縮される効果</t>
  </si>
  <si>
    <r>
      <rPr>
        <sz val="10"/>
        <rFont val="Arial"/>
        <family val="0"/>
        <charset val="1"/>
      </rPr>
      <t xml:space="preserve">  x_v,sat </t>
    </r>
    <r>
      <rPr>
        <sz val="10"/>
        <rFont val="WenQuanYi Zen Hei"/>
        <family val="2"/>
      </rPr>
      <t xml:space="preserve">反復 初期値</t>
    </r>
  </si>
  <si>
    <r>
      <rPr>
        <i val="true"/>
        <sz val="9"/>
        <color rgb="FF595959"/>
        <rFont val="WenQuanYi Zen Hei"/>
        <family val="2"/>
      </rPr>
      <t xml:space="preserve">以下は </t>
    </r>
    <r>
      <rPr>
        <i val="true"/>
        <sz val="9"/>
        <color rgb="FF595959"/>
        <rFont val="Arial"/>
        <family val="0"/>
        <charset val="1"/>
      </rPr>
      <t xml:space="preserve">f </t>
    </r>
    <r>
      <rPr>
        <i val="true"/>
        <sz val="9"/>
        <color rgb="FF595959"/>
        <rFont val="WenQuanYi Zen Hei"/>
        <family val="2"/>
      </rPr>
      <t xml:space="preserve">の不動点反復（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回で </t>
    </r>
    <r>
      <rPr>
        <i val="true"/>
        <sz val="9"/>
        <color rgb="FF595959"/>
        <rFont val="Arial"/>
        <family val="0"/>
        <charset val="1"/>
      </rPr>
      <t xml:space="preserve">1e−9 </t>
    </r>
    <r>
      <rPr>
        <i val="true"/>
        <sz val="9"/>
        <color rgb="FF595959"/>
        <rFont val="WenQuanYi Zen Hei"/>
        <family val="2"/>
      </rPr>
      <t xml:space="preserve">に収束）</t>
    </r>
  </si>
  <si>
    <r>
      <rPr>
        <sz val="10"/>
        <rFont val="WenQuanYi Zen Hei"/>
        <family val="2"/>
      </rPr>
      <t xml:space="preserve">  反復</t>
    </r>
    <r>
      <rPr>
        <sz val="10"/>
        <rFont val="Arial"/>
        <family val="0"/>
        <charset val="1"/>
      </rPr>
      <t xml:space="preserve">1: B_mix</t>
    </r>
  </si>
  <si>
    <r>
      <rPr>
        <sz val="10"/>
        <rFont val="WenQuanYi Zen Hei"/>
        <family val="2"/>
      </rPr>
      <t xml:space="preserve">  反復</t>
    </r>
    <r>
      <rPr>
        <sz val="10"/>
        <rFont val="Arial"/>
        <family val="0"/>
        <charset val="1"/>
      </rPr>
      <t xml:space="preserve">1: ln φ_w</t>
    </r>
  </si>
  <si>
    <r>
      <rPr>
        <sz val="10"/>
        <rFont val="WenQuanYi Zen Hei"/>
        <family val="2"/>
      </rPr>
      <t xml:space="preserve">  反復</t>
    </r>
    <r>
      <rPr>
        <sz val="10"/>
        <rFont val="Arial"/>
        <family val="0"/>
        <charset val="1"/>
      </rPr>
      <t xml:space="preserve">1: ln f</t>
    </r>
  </si>
  <si>
    <r>
      <rPr>
        <sz val="10"/>
        <rFont val="WenQuanYi Zen Hei"/>
        <family val="2"/>
      </rPr>
      <t xml:space="preserve">  反復</t>
    </r>
    <r>
      <rPr>
        <sz val="10"/>
        <rFont val="Arial"/>
        <family val="0"/>
        <charset val="1"/>
      </rPr>
      <t xml:space="preserve">1: x_v,sat</t>
    </r>
  </si>
  <si>
    <r>
      <rPr>
        <sz val="10"/>
        <rFont val="WenQuanYi Zen Hei"/>
        <family val="2"/>
      </rPr>
      <t xml:space="preserve">  反復</t>
    </r>
    <r>
      <rPr>
        <sz val="10"/>
        <rFont val="Arial"/>
        <family val="0"/>
        <charset val="1"/>
      </rPr>
      <t xml:space="preserve">2: B_mix</t>
    </r>
  </si>
  <si>
    <r>
      <rPr>
        <sz val="10"/>
        <rFont val="WenQuanYi Zen Hei"/>
        <family val="2"/>
      </rPr>
      <t xml:space="preserve">  反復</t>
    </r>
    <r>
      <rPr>
        <sz val="10"/>
        <rFont val="Arial"/>
        <family val="0"/>
        <charset val="1"/>
      </rPr>
      <t xml:space="preserve">2: ln φ_w</t>
    </r>
  </si>
  <si>
    <r>
      <rPr>
        <sz val="10"/>
        <rFont val="WenQuanYi Zen Hei"/>
        <family val="2"/>
      </rPr>
      <t xml:space="preserve">  反復</t>
    </r>
    <r>
      <rPr>
        <sz val="10"/>
        <rFont val="Arial"/>
        <family val="0"/>
        <charset val="1"/>
      </rPr>
      <t xml:space="preserve">2: ln f</t>
    </r>
  </si>
  <si>
    <r>
      <rPr>
        <sz val="10"/>
        <rFont val="WenQuanYi Zen Hei"/>
        <family val="2"/>
      </rPr>
      <t xml:space="preserve">  反復</t>
    </r>
    <r>
      <rPr>
        <sz val="10"/>
        <rFont val="Arial"/>
        <family val="0"/>
        <charset val="1"/>
      </rPr>
      <t xml:space="preserve">2: x_v,sat</t>
    </r>
  </si>
  <si>
    <r>
      <rPr>
        <sz val="10"/>
        <rFont val="WenQuanYi Zen Hei"/>
        <family val="2"/>
      </rPr>
      <t xml:space="preserve">  反復</t>
    </r>
    <r>
      <rPr>
        <sz val="10"/>
        <rFont val="Arial"/>
        <family val="0"/>
        <charset val="1"/>
      </rPr>
      <t xml:space="preserve">3: B_mix</t>
    </r>
  </si>
  <si>
    <r>
      <rPr>
        <sz val="10"/>
        <rFont val="WenQuanYi Zen Hei"/>
        <family val="2"/>
      </rPr>
      <t xml:space="preserve">  反復</t>
    </r>
    <r>
      <rPr>
        <sz val="10"/>
        <rFont val="Arial"/>
        <family val="0"/>
        <charset val="1"/>
      </rPr>
      <t xml:space="preserve">3: ln φ_w</t>
    </r>
  </si>
  <si>
    <r>
      <rPr>
        <sz val="10"/>
        <rFont val="WenQuanYi Zen Hei"/>
        <family val="2"/>
      </rPr>
      <t xml:space="preserve">  反復</t>
    </r>
    <r>
      <rPr>
        <sz val="10"/>
        <rFont val="Arial"/>
        <family val="0"/>
        <charset val="1"/>
      </rPr>
      <t xml:space="preserve">3: ln f</t>
    </r>
  </si>
  <si>
    <r>
      <rPr>
        <sz val="10"/>
        <rFont val="WenQuanYi Zen Hei"/>
        <family val="2"/>
      </rPr>
      <t xml:space="preserve">エンハンスメント係数 </t>
    </r>
    <r>
      <rPr>
        <sz val="10"/>
        <rFont val="Arial"/>
        <family val="0"/>
        <charset val="1"/>
      </rPr>
      <t xml:space="preserve">f</t>
    </r>
  </si>
  <si>
    <r>
      <rPr>
        <i val="true"/>
        <sz val="9"/>
        <color rgb="FF595959"/>
        <rFont val="Arial"/>
        <family val="0"/>
        <charset val="1"/>
      </rPr>
      <t xml:space="preserve">★x_v,sat = f·p_sat/p</t>
    </r>
    <r>
      <rPr>
        <i val="true"/>
        <sz val="9"/>
        <color rgb="FF595959"/>
        <rFont val="WenQuanYi Zen Hei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では </t>
    </r>
    <r>
      <rPr>
        <i val="true"/>
        <sz val="9"/>
        <color rgb="FF595959"/>
        <rFont val="Arial"/>
        <family val="0"/>
        <charset val="1"/>
      </rPr>
      <t xml:space="preserve">1.018</t>
    </r>
    <r>
      <rPr>
        <i val="true"/>
        <sz val="9"/>
        <color rgb="FF595959"/>
        <rFont val="WenQuanYi Zen Hei"/>
        <family val="2"/>
      </rPr>
      <t xml:space="preserve">（空気は </t>
    </r>
    <r>
      <rPr>
        <i val="true"/>
        <sz val="9"/>
        <color rgb="FF595959"/>
        <rFont val="Arial"/>
        <family val="0"/>
        <charset val="1"/>
      </rPr>
      <t xml:space="preserve">1.005</t>
    </r>
    <r>
      <rPr>
        <i val="true"/>
        <sz val="9"/>
        <color rgb="FF595959"/>
        <rFont val="WenQuanYi Zen Hei"/>
        <family val="2"/>
      </rPr>
      <t xml:space="preserve">）。空気用 </t>
    </r>
    <r>
      <rPr>
        <i val="true"/>
        <sz val="9"/>
        <color rgb="FF595959"/>
        <rFont val="Arial"/>
        <family val="0"/>
        <charset val="1"/>
      </rPr>
      <t xml:space="preserve">Greenspan </t>
    </r>
    <r>
      <rPr>
        <i val="true"/>
        <sz val="9"/>
        <color rgb="FF595959"/>
        <rFont val="WenQuanYi Zen Hei"/>
        <family val="2"/>
      </rPr>
      <t xml:space="preserve">式は 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に使えない</t>
    </r>
  </si>
  <si>
    <r>
      <rPr>
        <b val="true"/>
        <sz val="10"/>
        <color rgb="FF1F3864"/>
        <rFont val="WenQuanYi Zen Hei"/>
        <family val="2"/>
      </rPr>
      <t xml:space="preserve">── 組成 </t>
    </r>
    <r>
      <rPr>
        <b val="true"/>
        <sz val="10"/>
        <color rgb="FF1F3864"/>
        <rFont val="Arial"/>
        <family val="0"/>
        <charset val="1"/>
      </rPr>
      <t xml:space="preserve">/ composition ──</t>
    </r>
  </si>
  <si>
    <r>
      <rPr>
        <sz val="10"/>
        <rFont val="WenQuanYi Zen Hei"/>
        <family val="2"/>
      </rPr>
      <t xml:space="preserve">相対湿度 </t>
    </r>
    <r>
      <rPr>
        <sz val="10"/>
        <rFont val="Arial"/>
        <family val="0"/>
        <charset val="1"/>
      </rPr>
      <t xml:space="preserve">RH = p_v/(f·p_sat)</t>
    </r>
  </si>
  <si>
    <r>
      <rPr>
        <i val="true"/>
        <sz val="9"/>
        <color rgb="FF595959"/>
        <rFont val="Arial"/>
        <family val="0"/>
        <charset val="1"/>
      </rPr>
      <t xml:space="preserve">WMO/</t>
    </r>
    <r>
      <rPr>
        <i val="true"/>
        <sz val="9"/>
        <color rgb="FF595959"/>
        <rFont val="WenQuanYi Zen Hei"/>
        <family val="2"/>
      </rPr>
      <t xml:space="preserve">モル分率定義（</t>
    </r>
    <r>
      <rPr>
        <i val="true"/>
        <sz val="9"/>
        <color rgb="FF595959"/>
        <rFont val="Arial"/>
        <family val="0"/>
        <charset val="1"/>
      </rPr>
      <t xml:space="preserve">Lovell-Smith et al., Metrologia 53, R40, 2016</t>
    </r>
    <r>
      <rPr>
        <i val="true"/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</si>
  <si>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水蒸気モル分率 </t>
    </r>
    <r>
      <rPr>
        <sz val="10"/>
        <rFont val="Arial"/>
        <family val="0"/>
        <charset val="1"/>
      </rPr>
      <t xml:space="preserve">x_v</t>
    </r>
  </si>
  <si>
    <r>
      <rPr>
        <i val="true"/>
        <sz val="9"/>
        <color rgb="FF595959"/>
        <rFont val="Arial"/>
        <family val="0"/>
        <charset val="1"/>
      </rPr>
      <t xml:space="preserve">★S1→S4 </t>
    </r>
    <r>
      <rPr>
        <i val="true"/>
        <sz val="9"/>
        <color rgb="FF595959"/>
        <rFont val="WenQuanYi Zen Hei"/>
        <family val="2"/>
      </rPr>
      <t xml:space="preserve">で保存される量（凝縮も加水もない限り）</t>
    </r>
  </si>
  <si>
    <r>
      <rPr>
        <sz val="10"/>
        <rFont val="WenQuanYi Zen Hei"/>
        <family val="2"/>
      </rPr>
      <t xml:space="preserve">水蒸気分圧 </t>
    </r>
    <r>
      <rPr>
        <sz val="10"/>
        <rFont val="Arial"/>
        <family val="0"/>
        <charset val="1"/>
      </rPr>
      <t xml:space="preserve">p_v</t>
    </r>
  </si>
  <si>
    <r>
      <rPr>
        <b val="true"/>
        <sz val="10"/>
        <color rgb="FF1F3864"/>
        <rFont val="WenQuanYi Zen Hei"/>
        <family val="2"/>
      </rPr>
      <t xml:space="preserve">── 露点 </t>
    </r>
    <r>
      <rPr>
        <b val="true"/>
        <sz val="10"/>
        <color rgb="FF1F3864"/>
        <rFont val="Arial"/>
        <family val="0"/>
        <charset val="1"/>
      </rPr>
      <t xml:space="preserve">/ dew point ──</t>
    </r>
  </si>
  <si>
    <r>
      <rPr>
        <i val="true"/>
        <sz val="9"/>
        <color rgb="FF595959"/>
        <rFont val="Arial"/>
        <family val="0"/>
        <charset val="1"/>
      </rPr>
      <t xml:space="preserve">f </t>
    </r>
    <r>
      <rPr>
        <i val="true"/>
        <sz val="9"/>
        <color rgb="FF595959"/>
        <rFont val="WenQuanYi Zen Hei"/>
        <family val="2"/>
      </rPr>
      <t xml:space="preserve">は状態点の </t>
    </r>
    <r>
      <rPr>
        <i val="true"/>
        <sz val="9"/>
        <color rgb="FF595959"/>
        <rFont val="Arial"/>
        <family val="0"/>
        <charset val="1"/>
      </rPr>
      <t xml:space="preserve">T </t>
    </r>
    <r>
      <rPr>
        <i val="true"/>
        <sz val="9"/>
        <color rgb="FF595959"/>
        <rFont val="WenQuanYi Zen Hei"/>
        <family val="2"/>
      </rPr>
      <t xml:space="preserve">で評価。露点での </t>
    </r>
    <r>
      <rPr>
        <i val="true"/>
        <sz val="9"/>
        <color rgb="FF595959"/>
        <rFont val="Arial"/>
        <family val="0"/>
        <charset val="1"/>
      </rPr>
      <t xml:space="preserve">f </t>
    </r>
    <r>
      <rPr>
        <i val="true"/>
        <sz val="9"/>
        <color rgb="FF595959"/>
        <rFont val="WenQuanYi Zen Hei"/>
        <family val="2"/>
      </rPr>
      <t xml:space="preserve">との差は </t>
    </r>
    <r>
      <rPr>
        <i val="true"/>
        <sz val="9"/>
        <color rgb="FF595959"/>
        <rFont val="Arial"/>
        <family val="0"/>
        <charset val="1"/>
      </rPr>
      <t xml:space="preserve">0.02 K </t>
    </r>
    <r>
      <rPr>
        <i val="true"/>
        <sz val="9"/>
        <color rgb="FF595959"/>
        <rFont val="WenQuanYi Zen Hei"/>
        <family val="2"/>
      </rPr>
      <t xml:space="preserve">未満</t>
    </r>
  </si>
  <si>
    <r>
      <rPr>
        <sz val="10"/>
        <rFont val="WenQuanYi Zen Hei"/>
        <family val="2"/>
      </rPr>
      <t xml:space="preserve">  露点 初期値（</t>
    </r>
    <r>
      <rPr>
        <sz val="10"/>
        <rFont val="Arial"/>
        <family val="0"/>
        <charset val="1"/>
      </rPr>
      <t xml:space="preserve">Hardy </t>
    </r>
    <r>
      <rPr>
        <sz val="10"/>
        <rFont val="WenQuanYi Zen Hei"/>
        <family val="2"/>
      </rPr>
      <t xml:space="preserve">逆式）</t>
    </r>
  </si>
  <si>
    <r>
      <rPr>
        <i val="true"/>
        <sz val="9"/>
        <color rgb="FF595959"/>
        <rFont val="Arial"/>
        <family val="0"/>
        <charset val="1"/>
      </rPr>
      <t xml:space="preserve">Hardy (1998) </t>
    </r>
    <r>
      <rPr>
        <i val="true"/>
        <sz val="9"/>
        <color rgb="FF595959"/>
        <rFont val="WenQuanYi Zen Hei"/>
        <family val="2"/>
      </rPr>
      <t xml:space="preserve">の有理式。単独で </t>
    </r>
    <r>
      <rPr>
        <i val="true"/>
        <sz val="9"/>
        <color rgb="FF595959"/>
        <rFont val="Arial"/>
        <family val="0"/>
        <charset val="1"/>
      </rPr>
      <t xml:space="preserve">1e−4 K </t>
    </r>
    <r>
      <rPr>
        <i val="true"/>
        <sz val="9"/>
        <color rgb="FF595959"/>
        <rFont val="WenQuanYi Zen Hei"/>
        <family val="2"/>
      </rPr>
      <t xml:space="preserve">精度</t>
    </r>
  </si>
  <si>
    <r>
      <rPr>
        <sz val="10"/>
        <rFont val="Arial"/>
        <family val="0"/>
        <charset val="1"/>
      </rPr>
      <t xml:space="preserve">  p_sat(</t>
    </r>
    <r>
      <rPr>
        <sz val="10"/>
        <rFont val="WenQuanYi Zen Hei"/>
        <family val="2"/>
      </rPr>
      <t xml:space="preserve">初期値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</si>
  <si>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Newton 1</t>
    </r>
    <r>
      <rPr>
        <sz val="10"/>
        <rFont val="WenQuanYi Zen Hei"/>
        <family val="2"/>
      </rPr>
      <t xml:space="preserve">回目</t>
    </r>
  </si>
  <si>
    <r>
      <rPr>
        <sz val="10"/>
        <rFont val="Arial"/>
        <family val="0"/>
        <charset val="1"/>
      </rPr>
      <t xml:space="preserve">  p_sat(1</t>
    </r>
    <r>
      <rPr>
        <sz val="10"/>
        <rFont val="WenQuanYi Zen Hei"/>
        <family val="2"/>
      </rPr>
      <t xml:space="preserve">回目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</si>
  <si>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Newton 2</t>
    </r>
    <r>
      <rPr>
        <sz val="10"/>
        <rFont val="WenQuanYi Zen Hei"/>
        <family val="2"/>
      </rPr>
      <t xml:space="preserve">回目</t>
    </r>
  </si>
  <si>
    <r>
      <rPr>
        <sz val="10"/>
        <rFont val="WenQuanYi Zen Hei"/>
        <family val="2"/>
      </rPr>
      <t xml:space="preserve">露点温度 </t>
    </r>
    <r>
      <rPr>
        <sz val="10"/>
        <rFont val="Arial"/>
        <family val="0"/>
        <charset val="1"/>
      </rPr>
      <t xml:space="preserve">T_dp</t>
    </r>
  </si>
  <si>
    <r>
      <rPr>
        <sz val="10"/>
        <rFont val="WenQuanYi Zen Hei"/>
        <family val="2"/>
      </rPr>
      <t xml:space="preserve">露点余裕 </t>
    </r>
    <r>
      <rPr>
        <sz val="10"/>
        <rFont val="Arial"/>
        <family val="0"/>
        <charset val="1"/>
      </rPr>
      <t xml:space="preserve">ΔT = T − T_dp</t>
    </r>
  </si>
  <si>
    <r>
      <rPr>
        <i val="true"/>
        <sz val="9"/>
        <color rgb="FF595959"/>
        <rFont val="Arial"/>
        <family val="0"/>
        <charset val="1"/>
      </rPr>
      <t xml:space="preserve">★5 K </t>
    </r>
    <r>
      <rPr>
        <i val="true"/>
        <sz val="9"/>
        <color rgb="FF595959"/>
        <rFont val="WenQuanYi Zen Hei"/>
        <family val="2"/>
      </rPr>
      <t xml:space="preserve">以上を厳守（</t>
    </r>
    <r>
      <rPr>
        <i val="true"/>
        <sz val="9"/>
        <color rgb="FF595959"/>
        <rFont val="Arial"/>
        <family val="0"/>
        <charset val="1"/>
      </rPr>
      <t xml:space="preserve">US EPA Method 320 </t>
    </r>
    <r>
      <rPr>
        <i val="true"/>
        <sz val="9"/>
        <color rgb="FF595959"/>
        <rFont val="WenQuanYi Zen Hei"/>
        <family val="2"/>
      </rPr>
      <t xml:space="preserve">は最低 </t>
    </r>
    <r>
      <rPr>
        <i val="true"/>
        <sz val="9"/>
        <color rgb="FF595959"/>
        <rFont val="Arial"/>
        <family val="0"/>
        <charset val="1"/>
      </rPr>
      <t xml:space="preserve">5 °C </t>
    </r>
    <r>
      <rPr>
        <i val="true"/>
        <sz val="9"/>
        <color rgb="FF595959"/>
        <rFont val="WenQuanYi Zen Hei"/>
        <family val="2"/>
      </rPr>
      <t xml:space="preserve">を要求）。全経路で負にしないこと</t>
    </r>
  </si>
  <si>
    <r>
      <rPr>
        <b val="true"/>
        <sz val="10"/>
        <color rgb="FF1F3864"/>
        <rFont val="WenQuanYi Zen Hei"/>
        <family val="2"/>
      </rPr>
      <t xml:space="preserve">── 導出量 </t>
    </r>
    <r>
      <rPr>
        <b val="true"/>
        <sz val="10"/>
        <color rgb="FF1F3864"/>
        <rFont val="Arial"/>
        <family val="0"/>
        <charset val="1"/>
      </rPr>
      <t xml:space="preserve">/ derived ──</t>
    </r>
  </si>
  <si>
    <r>
      <rPr>
        <sz val="10"/>
        <rFont val="WenQuanYi Zen Hei"/>
        <family val="2"/>
      </rPr>
      <t xml:space="preserve">混合比 </t>
    </r>
    <r>
      <rPr>
        <sz val="10"/>
        <rFont val="Arial"/>
        <family val="0"/>
        <charset val="1"/>
      </rPr>
      <t xml:space="preserve">w</t>
    </r>
    <r>
      <rPr>
        <sz val="10"/>
        <rFont val="WenQuanYi Zen Hei"/>
        <family val="2"/>
      </rPr>
      <t xml:space="preserve">（乾き</t>
    </r>
    <r>
      <rPr>
        <sz val="10"/>
        <rFont val="Arial"/>
        <family val="0"/>
        <charset val="1"/>
      </rPr>
      <t xml:space="preserve">CO2</t>
    </r>
    <r>
      <rPr>
        <sz val="10"/>
        <rFont val="WenQuanYi Zen Hei"/>
        <family val="2"/>
      </rPr>
      <t xml:space="preserve">基準）</t>
    </r>
  </si>
  <si>
    <t xml:space="preserve">g/kg</t>
  </si>
  <si>
    <r>
      <rPr>
        <i val="true"/>
        <sz val="9"/>
        <color rgb="FF595959"/>
        <rFont val="Arial"/>
        <family val="0"/>
        <charset val="1"/>
      </rPr>
      <t xml:space="preserve">ε_CO2 = M_H2O/M_CO2 = 0.409350</t>
    </r>
    <r>
      <rPr>
        <i val="true"/>
        <sz val="9"/>
        <color rgb="FF595959"/>
        <rFont val="WenQuanYi Zen Hei"/>
        <family val="2"/>
      </rPr>
      <t xml:space="preserve">。空気の </t>
    </r>
    <r>
      <rPr>
        <i val="true"/>
        <sz val="9"/>
        <color rgb="FF595959"/>
        <rFont val="Arial"/>
        <family val="0"/>
        <charset val="1"/>
      </rPr>
      <t xml:space="preserve">0.622 </t>
    </r>
    <r>
      <rPr>
        <i val="true"/>
        <sz val="9"/>
        <color rgb="FF595959"/>
        <rFont val="WenQuanYi Zen Hei"/>
        <family val="2"/>
      </rPr>
      <t xml:space="preserve">を使うと </t>
    </r>
    <r>
      <rPr>
        <i val="true"/>
        <sz val="9"/>
        <color rgb="FF595959"/>
        <rFont val="Arial"/>
        <family val="0"/>
        <charset val="1"/>
      </rPr>
      <t xml:space="preserve">+51.9 % </t>
    </r>
    <r>
      <rPr>
        <i val="true"/>
        <sz val="9"/>
        <color rgb="FF595959"/>
        <rFont val="WenQuanYi Zen Hei"/>
        <family val="2"/>
      </rPr>
      <t xml:space="preserve">の誤り</t>
    </r>
  </si>
  <si>
    <r>
      <rPr>
        <sz val="10"/>
        <rFont val="WenQuanYi Zen Hei"/>
        <family val="2"/>
      </rPr>
      <t xml:space="preserve">絶対湿度 </t>
    </r>
    <r>
      <rPr>
        <sz val="10"/>
        <rFont val="Arial"/>
        <family val="0"/>
        <charset val="1"/>
      </rPr>
      <t xml:space="preserve">ρ_v</t>
    </r>
  </si>
  <si>
    <t xml:space="preserve">g/m³</t>
  </si>
  <si>
    <t xml:space="preserve">理想気体近似の蒸気密度</t>
  </si>
  <si>
    <r>
      <rPr>
        <sz val="10"/>
        <rFont val="WenQuanYi Zen Hei"/>
        <family val="2"/>
      </rPr>
      <t xml:space="preserve">混合気体モル質量 </t>
    </r>
    <r>
      <rPr>
        <sz val="10"/>
        <rFont val="Arial"/>
        <family val="0"/>
        <charset val="1"/>
      </rPr>
      <t xml:space="preserve">M_mix</t>
    </r>
  </si>
  <si>
    <t xml:space="preserve">kg/mol</t>
  </si>
  <si>
    <r>
      <rPr>
        <sz val="10"/>
        <rFont val="WenQuanYi Zen Hei"/>
        <family val="2"/>
      </rPr>
      <t xml:space="preserve">圧縮係数 </t>
    </r>
    <r>
      <rPr>
        <sz val="10"/>
        <rFont val="Arial"/>
        <family val="0"/>
        <charset val="1"/>
      </rPr>
      <t xml:space="preserve">Z_mix</t>
    </r>
  </si>
  <si>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次ビリアル混合則。</t>
    </r>
    <r>
      <rPr>
        <i val="true"/>
        <sz val="9"/>
        <color rgb="FF595959"/>
        <rFont val="Arial"/>
        <family val="0"/>
        <charset val="1"/>
      </rPr>
      <t xml:space="preserve">Span–Wagner </t>
    </r>
    <r>
      <rPr>
        <i val="true"/>
        <sz val="9"/>
        <color rgb="FF595959"/>
        <rFont val="WenQuanYi Zen Hei"/>
        <family val="2"/>
      </rPr>
      <t xml:space="preserve">に対し </t>
    </r>
    <r>
      <rPr>
        <i val="true"/>
        <sz val="9"/>
        <color rgb="FF595959"/>
        <rFont val="Arial"/>
        <family val="0"/>
        <charset val="1"/>
      </rPr>
      <t xml:space="preserve">0.04 % </t>
    </r>
    <r>
      <rPr>
        <i val="true"/>
        <sz val="9"/>
        <color rgb="FF595959"/>
        <rFont val="WenQuanYi Zen Hei"/>
        <family val="2"/>
      </rPr>
      <t xml:space="preserve">以内</t>
    </r>
  </si>
  <si>
    <r>
      <rPr>
        <sz val="10"/>
        <rFont val="WenQuanYi Zen Hei"/>
        <family val="2"/>
      </rPr>
      <t xml:space="preserve">密度 </t>
    </r>
    <r>
      <rPr>
        <sz val="10"/>
        <rFont val="Arial"/>
        <family val="0"/>
        <charset val="1"/>
      </rPr>
      <t xml:space="preserve">ρ</t>
    </r>
  </si>
  <si>
    <t xml:space="preserve">kg/m³</t>
  </si>
  <si>
    <r>
      <rPr>
        <b val="true"/>
        <sz val="10"/>
        <color rgb="FF1F3864"/>
        <rFont val="WenQuanYi Zen Hei"/>
        <family val="2"/>
      </rPr>
      <t xml:space="preserve">── 必要飽和器温度の逆算 </t>
    </r>
    <r>
      <rPr>
        <b val="true"/>
        <sz val="10"/>
        <color rgb="FF1F3864"/>
        <rFont val="Arial"/>
        <family val="0"/>
        <charset val="1"/>
      </rPr>
      <t xml:space="preserve">/ required saturator temperature ──</t>
    </r>
  </si>
  <si>
    <r>
      <rPr>
        <i val="true"/>
        <sz val="9"/>
        <color rgb="FF595959"/>
        <rFont val="WenQuanYi Zen Hei"/>
        <family val="2"/>
      </rPr>
      <t xml:space="preserve">目標 </t>
    </r>
    <r>
      <rPr>
        <i val="true"/>
        <sz val="9"/>
        <color rgb="FF595959"/>
        <rFont val="Arial"/>
        <family val="0"/>
        <charset val="1"/>
      </rPr>
      <t xml:space="preserve">x_v </t>
    </r>
    <r>
      <rPr>
        <i val="true"/>
        <sz val="9"/>
        <color rgb="FF595959"/>
        <rFont val="WenQuanYi Zen Hei"/>
        <family val="2"/>
      </rPr>
      <t xml:space="preserve">を一次側圧力 </t>
    </r>
    <r>
      <rPr>
        <i val="true"/>
        <sz val="9"/>
        <color rgb="FF595959"/>
        <rFont val="Arial"/>
        <family val="0"/>
        <charset val="1"/>
      </rPr>
      <t xml:space="preserve">p_1 </t>
    </r>
    <r>
      <rPr>
        <i val="true"/>
        <sz val="9"/>
        <color rgb="FF595959"/>
        <rFont val="WenQuanYi Zen Hei"/>
        <family val="2"/>
      </rPr>
      <t xml:space="preserve">で </t>
    </r>
    <r>
      <rPr>
        <i val="true"/>
        <sz val="9"/>
        <color rgb="FF595959"/>
        <rFont val="Arial"/>
        <family val="0"/>
        <charset val="1"/>
      </rPr>
      <t xml:space="preserve">η_sat </t>
    </r>
    <r>
      <rPr>
        <i val="true"/>
        <sz val="9"/>
        <color rgb="FF595959"/>
        <rFont val="WenQuanYi Zen Hei"/>
        <family val="2"/>
      </rPr>
      <t xml:space="preserve">の </t>
    </r>
    <r>
      <rPr>
        <i val="true"/>
        <sz val="9"/>
        <color rgb="FF595959"/>
        <rFont val="Arial"/>
        <family val="0"/>
        <charset val="1"/>
      </rPr>
      <t xml:space="preserve">RH </t>
    </r>
    <r>
      <rPr>
        <i val="true"/>
        <sz val="9"/>
        <color rgb="FF595959"/>
        <rFont val="WenQuanYi Zen Hei"/>
        <family val="2"/>
      </rPr>
      <t xml:space="preserve">として実現するのに必要な飽和器温度</t>
    </r>
  </si>
  <si>
    <r>
      <rPr>
        <sz val="10"/>
        <rFont val="WenQuanYi Zen Hei"/>
        <family val="2"/>
      </rPr>
      <t xml:space="preserve">必要 </t>
    </r>
    <r>
      <rPr>
        <sz val="10"/>
        <rFont val="Arial"/>
        <family val="0"/>
        <charset val="1"/>
      </rPr>
      <t xml:space="preserve">p_sat(T_sat) = x_v,</t>
    </r>
    <r>
      <rPr>
        <sz val="10"/>
        <rFont val="WenQuanYi Zen Hei"/>
        <family val="2"/>
      </rPr>
      <t xml:space="preserve">目標</t>
    </r>
    <r>
      <rPr>
        <sz val="10"/>
        <rFont val="Arial"/>
        <family val="0"/>
        <charset val="1"/>
      </rPr>
      <t xml:space="preserve">·p_1/(η_sat·f_1)</t>
    </r>
  </si>
  <si>
    <r>
      <rPr>
        <i val="true"/>
        <sz val="9"/>
        <color rgb="FF595959"/>
        <rFont val="Arial"/>
        <family val="0"/>
        <charset val="1"/>
      </rPr>
      <t xml:space="preserve">f_1 </t>
    </r>
    <r>
      <rPr>
        <i val="true"/>
        <sz val="9"/>
        <color rgb="FF595959"/>
        <rFont val="WenQuanYi Zen Hei"/>
        <family val="2"/>
      </rPr>
      <t xml:space="preserve">は </t>
    </r>
    <r>
      <rPr>
        <i val="true"/>
        <sz val="9"/>
        <color rgb="FF595959"/>
        <rFont val="Arial"/>
        <family val="0"/>
        <charset val="1"/>
      </rPr>
      <t xml:space="preserve">S1 </t>
    </r>
    <r>
      <rPr>
        <i val="true"/>
        <sz val="9"/>
        <color rgb="FF595959"/>
        <rFont val="WenQuanYi Zen Hei"/>
        <family val="2"/>
      </rPr>
      <t xml:space="preserve">の </t>
    </r>
    <r>
      <rPr>
        <i val="true"/>
        <sz val="9"/>
        <color rgb="FF595959"/>
        <rFont val="Arial"/>
        <family val="0"/>
        <charset val="1"/>
      </rPr>
      <t xml:space="preserve">f</t>
    </r>
    <r>
      <rPr>
        <i val="true"/>
        <sz val="9"/>
        <color rgb="FF595959"/>
        <rFont val="WenQuanYi Zen Hei"/>
        <family val="2"/>
      </rPr>
      <t xml:space="preserve">（同じ </t>
    </r>
    <r>
      <rPr>
        <i val="true"/>
        <sz val="9"/>
        <color rgb="FF595959"/>
        <rFont val="Arial"/>
        <family val="0"/>
        <charset val="1"/>
      </rPr>
      <t xml:space="preserve">p,T </t>
    </r>
    <r>
      <rPr>
        <i val="true"/>
        <sz val="9"/>
        <color rgb="FF595959"/>
        <rFont val="WenQuanYi Zen Hei"/>
        <family val="2"/>
      </rPr>
      <t xml:space="preserve">で評価）</t>
    </r>
  </si>
  <si>
    <r>
      <rPr>
        <sz val="10"/>
        <rFont val="WenQuanYi Zen Hei"/>
        <family val="2"/>
      </rPr>
      <t xml:space="preserve">  初期値（</t>
    </r>
    <r>
      <rPr>
        <sz val="10"/>
        <rFont val="Arial"/>
        <family val="0"/>
        <charset val="1"/>
      </rPr>
      <t xml:space="preserve">Hardy </t>
    </r>
    <r>
      <rPr>
        <sz val="10"/>
        <rFont val="WenQuanYi Zen Hei"/>
        <family val="2"/>
      </rPr>
      <t xml:space="preserve">逆式）</t>
    </r>
  </si>
  <si>
    <r>
      <rPr>
        <sz val="10"/>
        <rFont val="WenQuanYi Zen Hei"/>
        <family val="2"/>
      </rPr>
      <t xml:space="preserve">★必要飽和器温度 </t>
    </r>
    <r>
      <rPr>
        <sz val="10"/>
        <rFont val="Arial"/>
        <family val="0"/>
        <charset val="1"/>
      </rPr>
      <t xml:space="preserve">T_sat</t>
    </r>
  </si>
  <si>
    <r>
      <rPr>
        <i val="true"/>
        <sz val="9"/>
        <color rgb="FF595959"/>
        <rFont val="WenQuanYi Zen Hei"/>
        <family val="2"/>
      </rPr>
      <t xml:space="preserve">この値を </t>
    </r>
    <r>
      <rPr>
        <i val="true"/>
        <sz val="9"/>
        <color rgb="FF595959"/>
        <rFont val="Arial"/>
        <family val="0"/>
        <charset val="1"/>
      </rPr>
      <t xml:space="preserve">01_</t>
    </r>
    <r>
      <rPr>
        <i val="true"/>
        <sz val="9"/>
        <color rgb="FF595959"/>
        <rFont val="WenQuanYi Zen Hei"/>
        <family val="2"/>
      </rPr>
      <t xml:space="preserve">入力 の『飽和器出口温度』に入力すると </t>
    </r>
    <r>
      <rPr>
        <i val="true"/>
        <sz val="9"/>
        <color rgb="FF595959"/>
        <rFont val="Arial"/>
        <family val="0"/>
        <charset val="1"/>
      </rPr>
      <t xml:space="preserve">S4 </t>
    </r>
    <r>
      <rPr>
        <i val="true"/>
        <sz val="9"/>
        <color rgb="FF595959"/>
        <rFont val="WenQuanYi Zen Hei"/>
        <family val="2"/>
      </rPr>
      <t xml:space="preserve">の </t>
    </r>
    <r>
      <rPr>
        <i val="true"/>
        <sz val="9"/>
        <color rgb="FF595959"/>
        <rFont val="Arial"/>
        <family val="0"/>
        <charset val="1"/>
      </rPr>
      <t xml:space="preserve">RH </t>
    </r>
    <r>
      <rPr>
        <i val="true"/>
        <sz val="9"/>
        <color rgb="FF595959"/>
        <rFont val="WenQuanYi Zen Hei"/>
        <family val="2"/>
      </rPr>
      <t xml:space="preserve">が目標に一致する</t>
    </r>
  </si>
  <si>
    <r>
      <rPr>
        <sz val="10"/>
        <rFont val="WenQuanYi Zen Hei"/>
        <family val="2"/>
      </rPr>
      <t xml:space="preserve">参考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露点制御方式の必要冷却器温度（</t>
    </r>
    <r>
      <rPr>
        <sz val="10"/>
        <rFont val="Arial"/>
        <family val="0"/>
        <charset val="1"/>
      </rPr>
      <t xml:space="preserve">RH=100 %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</si>
  <si>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飽和器の代わりに冷却凝縮で露点を決める場合（</t>
    </r>
    <r>
      <rPr>
        <i val="true"/>
        <sz val="9"/>
        <color rgb="FF595959"/>
        <rFont val="Arial"/>
        <family val="0"/>
        <charset val="1"/>
      </rPr>
      <t xml:space="preserve">RH=100 %</t>
    </r>
    <r>
      <rPr>
        <i val="true"/>
        <sz val="9"/>
        <color rgb="FF595959"/>
        <rFont val="WenQuanYi Zen Hei"/>
        <family val="2"/>
      </rPr>
      <t xml:space="preserve">で出す）</t>
    </r>
  </si>
  <si>
    <r>
      <rPr>
        <sz val="10"/>
        <rFont val="Arial"/>
        <family val="0"/>
        <charset val="1"/>
      </rPr>
      <t xml:space="preserve">S4 </t>
    </r>
    <r>
      <rPr>
        <sz val="10"/>
        <rFont val="WenQuanYi Zen Hei"/>
        <family val="2"/>
      </rPr>
      <t xml:space="preserve">で達成される </t>
    </r>
    <r>
      <rPr>
        <sz val="10"/>
        <rFont val="Arial"/>
        <family val="0"/>
        <charset val="1"/>
      </rPr>
      <t xml:space="preserve">RH </t>
    </r>
    <r>
      <rPr>
        <sz val="10"/>
        <rFont val="WenQuanYi Zen Hei"/>
        <family val="2"/>
      </rPr>
      <t xml:space="preserve">と目標との差</t>
    </r>
  </si>
  <si>
    <t xml:space="preserve">%RH</t>
  </si>
  <si>
    <r>
      <rPr>
        <i val="true"/>
        <sz val="9"/>
        <color rgb="FF595959"/>
        <rFont val="Arial"/>
        <family val="0"/>
        <charset val="1"/>
      </rPr>
      <t xml:space="preserve">0 </t>
    </r>
    <r>
      <rPr>
        <i val="true"/>
        <sz val="9"/>
        <color rgb="FF595959"/>
        <rFont val="WenQuanYi Zen Hei"/>
        <family val="2"/>
      </rPr>
      <t xml:space="preserve">になるように </t>
    </r>
    <r>
      <rPr>
        <i val="true"/>
        <sz val="9"/>
        <color rgb="FF595959"/>
        <rFont val="Arial"/>
        <family val="0"/>
        <charset val="1"/>
      </rPr>
      <t xml:space="preserve">T_sat </t>
    </r>
    <r>
      <rPr>
        <i val="true"/>
        <sz val="9"/>
        <color rgb="FF595959"/>
        <rFont val="WenQuanYi Zen Hei"/>
        <family val="2"/>
      </rPr>
      <t xml:space="preserve">を調整（または </t>
    </r>
    <r>
      <rPr>
        <i val="true"/>
        <sz val="9"/>
        <color rgb="FF595959"/>
        <rFont val="Arial"/>
        <family val="0"/>
        <charset val="1"/>
      </rPr>
      <t xml:space="preserve">09_</t>
    </r>
    <r>
      <rPr>
        <i val="true"/>
        <sz val="9"/>
        <color rgb="FF595959"/>
        <rFont val="WenQuanYi Zen Hei"/>
        <family val="2"/>
      </rPr>
      <t xml:space="preserve">感度解析 を参照）</t>
    </r>
  </si>
  <si>
    <r>
      <rPr>
        <b val="true"/>
        <sz val="14"/>
        <color rgb="FF1F3864"/>
        <rFont val="WenQuanYi Zen Hei"/>
        <family val="2"/>
      </rPr>
      <t xml:space="preserve">流量切替系の設計 </t>
    </r>
    <r>
      <rPr>
        <b val="true"/>
        <sz val="14"/>
        <color rgb="FF1F3864"/>
        <rFont val="Arial"/>
        <family val="0"/>
        <charset val="1"/>
      </rPr>
      <t xml:space="preserve">/ Fast flow-switching train</t>
    </r>
  </si>
  <si>
    <r>
      <rPr>
        <i val="true"/>
        <sz val="9"/>
        <color rgb="FF595959"/>
        <rFont val="WenQuanYi Zen Hei"/>
        <family val="2"/>
      </rPr>
      <t xml:space="preserve">構成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一次プレナム → 臨界ノズル </t>
    </r>
    <r>
      <rPr>
        <i val="true"/>
        <sz val="9"/>
        <color rgb="FF595959"/>
        <rFont val="Arial"/>
        <family val="0"/>
        <charset val="1"/>
      </rPr>
      <t xml:space="preserve">A</t>
    </r>
    <r>
      <rPr>
        <i val="true"/>
        <sz val="9"/>
        <color rgb="FF595959"/>
        <rFont val="WenQuanYi Zen Hei"/>
        <family val="2"/>
      </rPr>
      <t xml:space="preserve">（常時 </t>
    </r>
    <r>
      <rPr>
        <i val="true"/>
        <sz val="9"/>
        <color rgb="FF595959"/>
        <rFont val="Arial"/>
        <family val="0"/>
        <charset val="1"/>
      </rPr>
      <t xml:space="preserve">Q_L</t>
    </r>
    <r>
      <rPr>
        <i val="true"/>
        <sz val="9"/>
        <color rgb="FF595959"/>
        <rFont val="WenQuanYi Zen Hei"/>
        <family val="2"/>
      </rPr>
      <t xml:space="preserve">）∥ 臨界ノズル </t>
    </r>
    <r>
      <rPr>
        <i val="true"/>
        <sz val="9"/>
        <color rgb="FF595959"/>
        <rFont val="Arial"/>
        <family val="0"/>
        <charset val="1"/>
      </rPr>
      <t xml:space="preserve">B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+ΔQ</t>
    </r>
    <r>
      <rPr>
        <i val="true"/>
        <sz val="9"/>
        <color rgb="FF595959"/>
        <rFont val="WenQuanYi Zen Hei"/>
        <family val="2"/>
      </rPr>
      <t xml:space="preserve">、高速弁で開閉） → 出力段</t>
    </r>
  </si>
  <si>
    <r>
      <rPr>
        <b val="true"/>
        <sz val="10"/>
        <color rgb="FF1F3864"/>
        <rFont val="Arial"/>
        <family val="0"/>
        <charset val="1"/>
      </rPr>
      <t xml:space="preserve">A. </t>
    </r>
    <r>
      <rPr>
        <b val="true"/>
        <sz val="10"/>
        <color rgb="FF1F3864"/>
        <rFont val="WenQuanYi Zen Hei"/>
        <family val="2"/>
      </rPr>
      <t xml:space="preserve">基準状態と流量 </t>
    </r>
    <r>
      <rPr>
        <b val="true"/>
        <sz val="10"/>
        <color rgb="FF1F3864"/>
        <rFont val="Arial"/>
        <family val="0"/>
        <charset val="1"/>
      </rPr>
      <t xml:space="preserve">/ Reference conditions and flows</t>
    </r>
  </si>
  <si>
    <r>
      <rPr>
        <sz val="10"/>
        <rFont val="WenQuanYi Zen Hei"/>
        <family val="2"/>
      </rPr>
      <t xml:space="preserve">標準状態のモル体積 </t>
    </r>
    <r>
      <rPr>
        <sz val="10"/>
        <rFont val="Arial"/>
        <family val="0"/>
        <charset val="1"/>
      </rPr>
      <t xml:space="preserve">V_m,ref</t>
    </r>
  </si>
  <si>
    <r>
      <rPr>
        <i val="true"/>
        <sz val="9"/>
        <color rgb="FF595959"/>
        <rFont val="Arial"/>
        <family val="0"/>
        <charset val="1"/>
      </rPr>
      <t xml:space="preserve">DIN 1343 (0 °C) = 22.4140 L/mol</t>
    </r>
    <r>
      <rPr>
        <i val="true"/>
        <sz val="9"/>
        <color rgb="FF595959"/>
        <rFont val="WenQuanYi Zen Hei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20 °C </t>
    </r>
    <r>
      <rPr>
        <i val="true"/>
        <sz val="9"/>
        <color rgb="FF595959"/>
        <rFont val="WenQuanYi Zen Hei"/>
        <family val="2"/>
      </rPr>
      <t xml:space="preserve">基準なら </t>
    </r>
    <r>
      <rPr>
        <i val="true"/>
        <sz val="9"/>
        <color rgb="FF595959"/>
        <rFont val="Arial"/>
        <family val="0"/>
        <charset val="1"/>
      </rPr>
      <t xml:space="preserve">24.0551 L/mol —— </t>
    </r>
    <r>
      <rPr>
        <i val="true"/>
        <sz val="9"/>
        <color rgb="FF595959"/>
        <rFont val="WenQuanYi Zen Hei"/>
        <family val="2"/>
      </rPr>
      <t xml:space="preserve">質量流量が </t>
    </r>
    <r>
      <rPr>
        <i val="true"/>
        <sz val="9"/>
        <color rgb="FF595959"/>
        <rFont val="Arial"/>
        <family val="0"/>
        <charset val="1"/>
      </rPr>
      <t xml:space="preserve">7.32 % </t>
    </r>
    <r>
      <rPr>
        <i val="true"/>
        <sz val="9"/>
        <color rgb="FF595959"/>
        <rFont val="WenQuanYi Zen Hei"/>
        <family val="2"/>
      </rPr>
      <t xml:space="preserve">変わる</t>
    </r>
  </si>
  <si>
    <r>
      <rPr>
        <sz val="10"/>
        <rFont val="WenQuanYi Zen Hei"/>
        <family val="2"/>
      </rPr>
      <t xml:space="preserve">高流量 </t>
    </r>
    <r>
      <rPr>
        <sz val="10"/>
        <rFont val="Arial"/>
        <family val="0"/>
        <charset val="1"/>
      </rPr>
      <t xml:space="preserve">ṅ_H</t>
    </r>
  </si>
  <si>
    <t xml:space="preserve">mol/s</t>
  </si>
  <si>
    <r>
      <rPr>
        <sz val="10"/>
        <rFont val="WenQuanYi Zen Hei"/>
        <family val="2"/>
      </rPr>
      <t xml:space="preserve">低流量 </t>
    </r>
    <r>
      <rPr>
        <sz val="10"/>
        <rFont val="Arial"/>
        <family val="0"/>
        <charset val="1"/>
      </rPr>
      <t xml:space="preserve">ṅ_L</t>
    </r>
  </si>
  <si>
    <r>
      <rPr>
        <sz val="10"/>
        <rFont val="WenQuanYi Zen Hei"/>
        <family val="2"/>
      </rPr>
      <t xml:space="preserve">流量差 </t>
    </r>
    <r>
      <rPr>
        <sz val="10"/>
        <rFont val="Arial"/>
        <family val="0"/>
        <charset val="1"/>
      </rPr>
      <t xml:space="preserve">Δṅ = ṅ_H − ṅ_L</t>
    </r>
  </si>
  <si>
    <r>
      <rPr>
        <i val="true"/>
        <sz val="9"/>
        <color rgb="FF595959"/>
        <rFont val="WenQuanYi Zen Hei"/>
        <family val="2"/>
      </rPr>
      <t xml:space="preserve">切替ノズル </t>
    </r>
    <r>
      <rPr>
        <i val="true"/>
        <sz val="9"/>
        <color rgb="FF595959"/>
        <rFont val="Arial"/>
        <family val="0"/>
        <charset val="1"/>
      </rPr>
      <t xml:space="preserve">B </t>
    </r>
    <r>
      <rPr>
        <i val="true"/>
        <sz val="9"/>
        <color rgb="FF595959"/>
        <rFont val="WenQuanYi Zen Hei"/>
        <family val="2"/>
      </rPr>
      <t xml:space="preserve">が受け持つ流量</t>
    </r>
  </si>
  <si>
    <r>
      <rPr>
        <sz val="10"/>
        <rFont val="WenQuanYi Zen Hei"/>
        <family val="2"/>
      </rPr>
      <t xml:space="preserve">平均流量 </t>
    </r>
    <r>
      <rPr>
        <sz val="10"/>
        <rFont val="Arial"/>
        <family val="0"/>
        <charset val="1"/>
      </rPr>
      <t xml:space="preserve">ṅ_mean</t>
    </r>
  </si>
  <si>
    <t xml:space="preserve">質量流量（高流量時）</t>
  </si>
  <si>
    <t xml:space="preserve">g/s</t>
  </si>
  <si>
    <r>
      <rPr>
        <i val="true"/>
        <sz val="9"/>
        <color rgb="FF595959"/>
        <rFont val="WenQuanYi Zen Hei"/>
        <family val="2"/>
      </rPr>
      <t xml:space="preserve">★論文では質量流量 </t>
    </r>
    <r>
      <rPr>
        <i val="true"/>
        <sz val="9"/>
        <color rgb="FF595959"/>
        <rFont val="Arial"/>
        <family val="0"/>
        <charset val="1"/>
      </rPr>
      <t xml:space="preserve">g/s </t>
    </r>
    <r>
      <rPr>
        <i val="true"/>
        <sz val="9"/>
        <color rgb="FF595959"/>
        <rFont val="WenQuanYi Zen Hei"/>
        <family val="2"/>
      </rPr>
      <t xml:space="preserve">を主表記に。</t>
    </r>
    <r>
      <rPr>
        <i val="true"/>
        <sz val="9"/>
        <color rgb="FF595959"/>
        <rFont val="Arial"/>
        <family val="0"/>
        <charset val="1"/>
      </rPr>
      <t xml:space="preserve">NLPM </t>
    </r>
    <r>
      <rPr>
        <i val="true"/>
        <sz val="9"/>
        <color rgb="FF595959"/>
        <rFont val="WenQuanYi Zen Hei"/>
        <family val="2"/>
      </rPr>
      <t xml:space="preserve">は基準条件を明記して併記</t>
    </r>
  </si>
  <si>
    <t xml:space="preserve">実体積流量（出力段、高流量時）</t>
  </si>
  <si>
    <t xml:space="preserve">L/min</t>
  </si>
  <si>
    <r>
      <rPr>
        <sz val="10"/>
        <rFont val="WenQuanYi Zen Hei"/>
        <family val="2"/>
      </rPr>
      <t xml:space="preserve">切替周期 </t>
    </r>
    <r>
      <rPr>
        <sz val="10"/>
        <rFont val="Arial"/>
        <family val="0"/>
        <charset val="1"/>
      </rPr>
      <t xml:space="preserve">T_p</t>
    </r>
  </si>
  <si>
    <t xml:space="preserve">s</t>
  </si>
  <si>
    <r>
      <rPr>
        <sz val="10"/>
        <rFont val="WenQuanYi Zen Hei"/>
        <family val="2"/>
      </rPr>
      <t xml:space="preserve">切替周波数 </t>
    </r>
    <r>
      <rPr>
        <sz val="10"/>
        <rFont val="Arial"/>
        <family val="0"/>
        <charset val="1"/>
      </rPr>
      <t xml:space="preserve">f_sw</t>
    </r>
  </si>
  <si>
    <t xml:space="preserve">Hz</t>
  </si>
  <si>
    <r>
      <rPr>
        <sz val="10"/>
        <rFont val="WenQuanYi Zen Hei"/>
        <family val="2"/>
      </rPr>
      <t xml:space="preserve">デューティ比 </t>
    </r>
    <r>
      <rPr>
        <sz val="10"/>
        <rFont val="Arial"/>
        <family val="0"/>
        <charset val="1"/>
      </rPr>
      <t xml:space="preserve">D</t>
    </r>
  </si>
  <si>
    <r>
      <rPr>
        <b val="true"/>
        <sz val="10"/>
        <color rgb="FF1F3864"/>
        <rFont val="Arial"/>
        <family val="0"/>
        <charset val="1"/>
      </rPr>
      <t xml:space="preserve">B. </t>
    </r>
    <r>
      <rPr>
        <b val="true"/>
        <sz val="10"/>
        <color rgb="FF1F3864"/>
        <rFont val="WenQuanYi Zen Hei"/>
        <family val="2"/>
      </rPr>
      <t xml:space="preserve">臨界ノズル（</t>
    </r>
    <r>
      <rPr>
        <b val="true"/>
        <sz val="10"/>
        <color rgb="FF1F3864"/>
        <rFont val="Arial"/>
        <family val="0"/>
        <charset val="1"/>
      </rPr>
      <t xml:space="preserve">ISO 9300 CFVN</t>
    </r>
    <r>
      <rPr>
        <b val="true"/>
        <sz val="10"/>
        <color rgb="FF1F3864"/>
        <rFont val="WenQuanYi Zen Hei"/>
        <family val="2"/>
      </rPr>
      <t xml:space="preserve">）の寸法 </t>
    </r>
    <r>
      <rPr>
        <b val="true"/>
        <sz val="10"/>
        <color rgb="FF1F3864"/>
        <rFont val="Arial"/>
        <family val="0"/>
        <charset val="1"/>
      </rPr>
      <t xml:space="preserve">/ Critical-flow nozzle sizing</t>
    </r>
  </si>
  <si>
    <r>
      <rPr>
        <sz val="10"/>
        <rFont val="WenQuanYi Zen Hei"/>
        <family val="2"/>
      </rPr>
      <t xml:space="preserve">混合気体の比熱比 </t>
    </r>
    <r>
      <rPr>
        <sz val="10"/>
        <rFont val="Arial"/>
        <family val="0"/>
        <charset val="1"/>
      </rPr>
      <t xml:space="preserve">γ_mix</t>
    </r>
    <r>
      <rPr>
        <sz val="10"/>
        <rFont val="WenQuanYi Zen Hei"/>
        <family val="2"/>
      </rPr>
      <t xml:space="preserve">（実在気体）</t>
    </r>
  </si>
  <si>
    <r>
      <rPr>
        <i val="true"/>
        <sz val="9"/>
        <color rgb="FF595959"/>
        <rFont val="WenQuanYi Zen Hei"/>
        <family val="2"/>
      </rPr>
      <t xml:space="preserve">実在気体の </t>
    </r>
    <r>
      <rPr>
        <i val="true"/>
        <sz val="9"/>
        <color rgb="FF595959"/>
        <rFont val="Arial"/>
        <family val="0"/>
        <charset val="1"/>
      </rPr>
      <t xml:space="preserve">γ </t>
    </r>
    <r>
      <rPr>
        <i val="true"/>
        <sz val="9"/>
        <color rgb="FF595959"/>
        <rFont val="WenQuanYi Zen Hei"/>
        <family val="2"/>
      </rPr>
      <t xml:space="preserve">は圧力依存（</t>
    </r>
    <r>
      <rPr>
        <i val="true"/>
        <sz val="9"/>
        <color rgb="FF595959"/>
        <rFont val="Arial"/>
        <family val="0"/>
        <charset val="1"/>
      </rPr>
      <t xml:space="preserve">20 °C </t>
    </r>
    <r>
      <rPr>
        <i val="true"/>
        <sz val="9"/>
        <color rgb="FF595959"/>
        <rFont val="WenQuanYi Zen Hei"/>
        <family val="2"/>
      </rPr>
      <t xml:space="preserve">で </t>
    </r>
    <r>
      <rPr>
        <i val="true"/>
        <sz val="9"/>
        <color rgb="FF595959"/>
        <rFont val="Arial"/>
        <family val="0"/>
        <charset val="1"/>
      </rPr>
      <t xml:space="preserve">1 bar:1.297 → 4 bar:1.315</t>
    </r>
    <r>
      <rPr>
        <i val="true"/>
        <sz val="9"/>
        <color rgb="FF595959"/>
        <rFont val="WenQuanYi Zen Hei"/>
        <family val="2"/>
      </rPr>
      <t xml:space="preserve">）。一定値を使わないこと</t>
    </r>
  </si>
  <si>
    <r>
      <rPr>
        <sz val="10"/>
        <rFont val="WenQuanYi Zen Hei"/>
        <family val="2"/>
      </rPr>
      <t xml:space="preserve">臨界流関数 </t>
    </r>
    <r>
      <rPr>
        <sz val="10"/>
        <rFont val="Arial"/>
        <family val="0"/>
        <charset val="1"/>
      </rPr>
      <t xml:space="preserve">C*</t>
    </r>
    <r>
      <rPr>
        <sz val="10"/>
        <rFont val="WenQuanYi Zen Hei"/>
        <family val="2"/>
      </rPr>
      <t xml:space="preserve">（完全気体式）</t>
    </r>
  </si>
  <si>
    <r>
      <rPr>
        <i val="true"/>
        <sz val="9"/>
        <color rgb="FF595959"/>
        <rFont val="Arial"/>
        <family val="0"/>
        <charset val="1"/>
      </rPr>
      <t xml:space="preserve">ISO 9300:2022 5.2</t>
    </r>
    <r>
      <rPr>
        <i val="true"/>
        <sz val="9"/>
        <color rgb="FF595959"/>
        <rFont val="WenQuanYi Zen Hei"/>
        <family val="2"/>
      </rPr>
      <t xml:space="preserve">。実在気体補正は下段で </t>
    </r>
    <r>
      <rPr>
        <i val="true"/>
        <sz val="9"/>
        <color rgb="FF595959"/>
        <rFont val="Arial"/>
        <family val="0"/>
        <charset val="1"/>
      </rPr>
      <t xml:space="preserve">Z </t>
    </r>
    <r>
      <rPr>
        <i val="true"/>
        <sz val="9"/>
        <color rgb="FF595959"/>
        <rFont val="WenQuanYi Zen Hei"/>
        <family val="2"/>
      </rPr>
      <t xml:space="preserve">によって行う（</t>
    </r>
    <r>
      <rPr>
        <i val="true"/>
        <sz val="9"/>
        <color rgb="FF595959"/>
        <rFont val="Arial"/>
        <family val="0"/>
        <charset val="1"/>
      </rPr>
      <t xml:space="preserve">Annex B </t>
    </r>
    <r>
      <rPr>
        <i val="true"/>
        <sz val="9"/>
        <color rgb="FF595959"/>
        <rFont val="WenQuanYi Zen Hei"/>
        <family val="2"/>
      </rPr>
      <t xml:space="preserve">の表で置換可）</t>
    </r>
  </si>
  <si>
    <r>
      <rPr>
        <sz val="10"/>
        <rFont val="WenQuanYi Zen Hei"/>
        <family val="2"/>
      </rPr>
      <t xml:space="preserve">よどみ点圧縮係数 </t>
    </r>
    <r>
      <rPr>
        <sz val="10"/>
        <rFont val="Arial"/>
        <family val="0"/>
        <charset val="1"/>
      </rPr>
      <t xml:space="preserve">Z_0</t>
    </r>
  </si>
  <si>
    <r>
      <rPr>
        <sz val="10"/>
        <rFont val="WenQuanYi Zen Hei"/>
        <family val="2"/>
      </rPr>
      <t xml:space="preserve">実在気体 臨界流関数 </t>
    </r>
    <r>
      <rPr>
        <sz val="10"/>
        <rFont val="Arial"/>
        <family val="0"/>
        <charset val="1"/>
      </rPr>
      <t xml:space="preserve">C_R = C*/√Z_0</t>
    </r>
  </si>
  <si>
    <r>
      <rPr>
        <i val="true"/>
        <sz val="9"/>
        <color rgb="FF595959"/>
        <rFont val="WenQuanYi Zen Hei"/>
        <family val="2"/>
      </rPr>
      <t xml:space="preserve">よどみ密度の実在気体補正（主要項）。厳密には </t>
    </r>
    <r>
      <rPr>
        <i val="true"/>
        <sz val="9"/>
        <color rgb="FF595959"/>
        <rFont val="Arial"/>
        <family val="0"/>
        <charset val="1"/>
      </rPr>
      <t xml:space="preserve">ISO 9300:2022 Annex B </t>
    </r>
    <r>
      <rPr>
        <i val="true"/>
        <sz val="9"/>
        <color rgb="FF595959"/>
        <rFont val="WenQuanYi Zen Hei"/>
        <family val="2"/>
      </rPr>
      <t xml:space="preserve">の 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表を使用</t>
    </r>
  </si>
  <si>
    <r>
      <rPr>
        <sz val="10"/>
        <rFont val="WenQuanYi Zen Hei"/>
        <family val="2"/>
      </rPr>
      <t xml:space="preserve">粘度 </t>
    </r>
    <r>
      <rPr>
        <sz val="10"/>
        <rFont val="Arial"/>
        <family val="0"/>
        <charset val="1"/>
      </rPr>
      <t xml:space="preserve">μ</t>
    </r>
    <r>
      <rPr>
        <sz val="10"/>
        <rFont val="WenQuanYi Zen Hei"/>
        <family val="2"/>
      </rPr>
      <t xml:space="preserve">（よどみ点）</t>
    </r>
  </si>
  <si>
    <t xml:space="preserve">Pa·s</t>
  </si>
  <si>
    <r>
      <rPr>
        <i val="true"/>
        <sz val="9"/>
        <color rgb="FF595959"/>
        <rFont val="Arial"/>
        <family val="0"/>
        <charset val="1"/>
      </rPr>
      <t xml:space="preserve">Fenghour et al. (1998) </t>
    </r>
    <r>
      <rPr>
        <i val="true"/>
        <sz val="9"/>
        <color rgb="FF595959"/>
        <rFont val="WenQuanYi Zen Hei"/>
        <family val="2"/>
      </rPr>
      <t xml:space="preserve">零密度項。純 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の値（水蒸気 </t>
    </r>
    <r>
      <rPr>
        <i val="true"/>
        <sz val="9"/>
        <color rgb="FF595959"/>
        <rFont val="Arial"/>
        <family val="0"/>
        <charset val="1"/>
      </rPr>
      <t xml:space="preserve">1.4 mol% </t>
    </r>
    <r>
      <rPr>
        <i val="true"/>
        <sz val="9"/>
        <color rgb="FF595959"/>
        <rFont val="WenQuanYi Zen Hei"/>
        <family val="2"/>
      </rPr>
      <t xml:space="preserve">の混合効果は </t>
    </r>
    <r>
      <rPr>
        <i val="true"/>
        <sz val="9"/>
        <color rgb="FF595959"/>
        <rFont val="Arial"/>
        <family val="0"/>
        <charset val="1"/>
      </rPr>
      <t xml:space="preserve">Re </t>
    </r>
    <r>
      <rPr>
        <i val="true"/>
        <sz val="9"/>
        <color rgb="FF595959"/>
        <rFont val="WenQuanYi Zen Hei"/>
        <family val="2"/>
      </rPr>
      <t xml:space="preserve">に </t>
    </r>
    <r>
      <rPr>
        <i val="true"/>
        <sz val="9"/>
        <color rgb="FF595959"/>
        <rFont val="Arial"/>
        <family val="0"/>
        <charset val="1"/>
      </rPr>
      <t xml:space="preserve">0.35 % </t>
    </r>
    <r>
      <rPr>
        <i val="true"/>
        <sz val="9"/>
        <color rgb="FF595959"/>
        <rFont val="WenQuanYi Zen Hei"/>
        <family val="2"/>
      </rPr>
      <t xml:space="preserve">で </t>
    </r>
    <r>
      <rPr>
        <i val="true"/>
        <sz val="9"/>
        <color rgb="FF595959"/>
        <rFont val="Arial"/>
        <family val="0"/>
        <charset val="1"/>
      </rPr>
      <t xml:space="preserve">Cd </t>
    </r>
    <r>
      <rPr>
        <i val="true"/>
        <sz val="9"/>
        <color rgb="FF595959"/>
        <rFont val="WenQuanYi Zen Hei"/>
        <family val="2"/>
      </rPr>
      <t xml:space="preserve">には </t>
    </r>
    <r>
      <rPr>
        <i val="true"/>
        <sz val="9"/>
        <color rgb="FF595959"/>
        <rFont val="Arial"/>
        <family val="0"/>
        <charset val="1"/>
      </rPr>
      <t xml:space="preserve">0.02 % </t>
    </r>
    <r>
      <rPr>
        <i val="true"/>
        <sz val="9"/>
        <color rgb="FF595959"/>
        <rFont val="WenQuanYi Zen Hei"/>
        <family val="2"/>
      </rPr>
      <t xml:space="preserve">しか効かない）</t>
    </r>
  </si>
  <si>
    <r>
      <rPr>
        <sz val="10"/>
        <rFont val="WenQuanYi Zen Hei"/>
        <family val="2"/>
      </rPr>
      <t xml:space="preserve">気体定数 </t>
    </r>
    <r>
      <rPr>
        <sz val="10"/>
        <rFont val="Arial"/>
        <family val="0"/>
        <charset val="1"/>
      </rPr>
      <t xml:space="preserve">R_s = R/M_mix</t>
    </r>
  </si>
  <si>
    <t xml:space="preserve">J/(kg·K)</t>
  </si>
  <si>
    <r>
      <rPr>
        <sz val="10"/>
        <rFont val="WenQuanYi Zen Hei"/>
        <family val="2"/>
      </rPr>
      <t xml:space="preserve">臨界圧力比 </t>
    </r>
    <r>
      <rPr>
        <sz val="10"/>
        <rFont val="Arial"/>
        <family val="0"/>
        <charset val="1"/>
      </rPr>
      <t xml:space="preserve">p*/p_0</t>
    </r>
  </si>
  <si>
    <r>
      <rPr>
        <sz val="10"/>
        <rFont val="WenQuanYi Zen Hei"/>
        <family val="2"/>
      </rPr>
      <t xml:space="preserve">実際の背圧比 </t>
    </r>
    <r>
      <rPr>
        <sz val="10"/>
        <rFont val="Arial"/>
        <family val="0"/>
        <charset val="1"/>
      </rPr>
      <t xml:space="preserve">p_out/p_1</t>
    </r>
  </si>
  <si>
    <t xml:space="preserve">★チョーク判定</t>
  </si>
  <si>
    <r>
      <rPr>
        <i val="true"/>
        <sz val="9"/>
        <color rgb="FF595959"/>
        <rFont val="Arial"/>
        <family val="0"/>
        <charset val="1"/>
      </rPr>
      <t xml:space="preserve">ISO 9300 </t>
    </r>
    <r>
      <rPr>
        <i val="true"/>
        <sz val="9"/>
        <color rgb="FF595959"/>
        <rFont val="WenQuanYi Zen Hei"/>
        <family val="2"/>
      </rPr>
      <t xml:space="preserve">は低 </t>
    </r>
    <r>
      <rPr>
        <i val="true"/>
        <sz val="9"/>
        <color rgb="FF595959"/>
        <rFont val="Arial"/>
        <family val="0"/>
        <charset val="1"/>
      </rPr>
      <t xml:space="preserve">Re </t>
    </r>
    <r>
      <rPr>
        <i val="true"/>
        <sz val="9"/>
        <color rgb="FF595959"/>
        <rFont val="WenQuanYi Zen Hei"/>
        <family val="2"/>
      </rPr>
      <t xml:space="preserve">で背圧比 ≤ </t>
    </r>
    <r>
      <rPr>
        <i val="true"/>
        <sz val="9"/>
        <color rgb="FF595959"/>
        <rFont val="Arial"/>
        <family val="0"/>
        <charset val="1"/>
      </rPr>
      <t xml:space="preserve">0.25 </t>
    </r>
    <r>
      <rPr>
        <i val="true"/>
        <sz val="9"/>
        <color rgb="FF595959"/>
        <rFont val="WenQuanYi Zen Hei"/>
        <family val="2"/>
      </rPr>
      <t xml:space="preserve">を推奨。ディフューザ無しの実用限界は約 </t>
    </r>
    <r>
      <rPr>
        <i val="true"/>
        <sz val="9"/>
        <color rgb="FF595959"/>
        <rFont val="Arial"/>
        <family val="0"/>
        <charset val="1"/>
      </rPr>
      <t xml:space="preserve">0.5</t>
    </r>
  </si>
  <si>
    <r>
      <rPr>
        <i val="true"/>
        <sz val="9"/>
        <color rgb="FF595959"/>
        <rFont val="WenQuanYi Zen Hei"/>
        <family val="2"/>
      </rPr>
      <t xml:space="preserve">— ノズル </t>
    </r>
    <r>
      <rPr>
        <i val="true"/>
        <sz val="9"/>
        <color rgb="FF595959"/>
        <rFont val="Arial"/>
        <family val="0"/>
        <charset val="1"/>
      </rPr>
      <t xml:space="preserve">A</t>
    </r>
    <r>
      <rPr>
        <i val="true"/>
        <sz val="9"/>
        <color rgb="FF595959"/>
        <rFont val="WenQuanYi Zen Hei"/>
        <family val="2"/>
      </rPr>
      <t xml:space="preserve">（常時開、</t>
    </r>
    <r>
      <rPr>
        <i val="true"/>
        <sz val="9"/>
        <color rgb="FF595959"/>
        <rFont val="Arial"/>
        <family val="0"/>
        <charset val="1"/>
      </rPr>
      <t xml:space="preserve">Q_L </t>
    </r>
    <r>
      <rPr>
        <i val="true"/>
        <sz val="9"/>
        <color rgb="FF595959"/>
        <rFont val="WenQuanYi Zen Hei"/>
        <family val="2"/>
      </rPr>
      <t xml:space="preserve">分） —</t>
    </r>
  </si>
  <si>
    <r>
      <rPr>
        <sz val="10"/>
        <rFont val="Arial"/>
        <family val="0"/>
        <charset val="1"/>
      </rPr>
      <t xml:space="preserve">  A: </t>
    </r>
    <r>
      <rPr>
        <sz val="10"/>
        <rFont val="WenQuanYi Zen Hei"/>
        <family val="2"/>
      </rPr>
      <t xml:space="preserve">質量流量 </t>
    </r>
    <r>
      <rPr>
        <sz val="10"/>
        <rFont val="Arial"/>
        <family val="0"/>
        <charset val="1"/>
      </rPr>
      <t xml:space="preserve">q_m</t>
    </r>
  </si>
  <si>
    <t xml:space="preserve">kg/s</t>
  </si>
  <si>
    <r>
      <rPr>
        <sz val="10"/>
        <rFont val="Arial"/>
        <family val="0"/>
        <charset val="1"/>
      </rPr>
      <t xml:space="preserve">  A: </t>
    </r>
    <r>
      <rPr>
        <sz val="10"/>
        <rFont val="WenQuanYi Zen Hei"/>
        <family val="2"/>
      </rPr>
      <t xml:space="preserve">反復 初期値 </t>
    </r>
    <r>
      <rPr>
        <sz val="10"/>
        <rFont val="Arial"/>
        <family val="0"/>
        <charset val="1"/>
      </rPr>
      <t xml:space="preserve">Cd</t>
    </r>
  </si>
  <si>
    <r>
      <rPr>
        <sz val="10"/>
        <rFont val="Arial"/>
        <family val="0"/>
        <charset val="1"/>
      </rPr>
      <t xml:space="preserve">  A: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のど径 </t>
    </r>
    <r>
      <rPr>
        <sz val="10"/>
        <rFont val="Arial"/>
        <family val="0"/>
        <charset val="1"/>
      </rPr>
      <t xml:space="preserve">d_t</t>
    </r>
  </si>
  <si>
    <r>
      <rPr>
        <sz val="10"/>
        <rFont val="Arial"/>
        <family val="0"/>
        <charset val="1"/>
      </rPr>
      <t xml:space="preserve">  A: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1 Re / Cd</t>
    </r>
  </si>
  <si>
    <r>
      <rPr>
        <sz val="10"/>
        <rFont val="Arial"/>
        <family val="0"/>
        <charset val="1"/>
      </rPr>
      <t xml:space="preserve">  A: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のど径 </t>
    </r>
    <r>
      <rPr>
        <sz val="10"/>
        <rFont val="Arial"/>
        <family val="0"/>
        <charset val="1"/>
      </rPr>
      <t xml:space="preserve">d_t</t>
    </r>
  </si>
  <si>
    <r>
      <rPr>
        <sz val="10"/>
        <rFont val="Arial"/>
        <family val="0"/>
        <charset val="1"/>
      </rPr>
      <t xml:space="preserve">  A: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2 Re / Cd</t>
    </r>
  </si>
  <si>
    <r>
      <rPr>
        <sz val="10"/>
        <rFont val="Arial"/>
        <family val="0"/>
        <charset val="1"/>
      </rPr>
      <t xml:space="preserve">  A: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のど径 </t>
    </r>
    <r>
      <rPr>
        <sz val="10"/>
        <rFont val="Arial"/>
        <family val="0"/>
        <charset val="1"/>
      </rPr>
      <t xml:space="preserve">d_t</t>
    </r>
  </si>
  <si>
    <r>
      <rPr>
        <sz val="10"/>
        <rFont val="Arial"/>
        <family val="0"/>
        <charset val="1"/>
      </rPr>
      <t xml:space="preserve">  A: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3 Re / Cd</t>
    </r>
  </si>
  <si>
    <r>
      <rPr>
        <sz val="10"/>
        <rFont val="Arial"/>
        <family val="0"/>
        <charset val="1"/>
      </rPr>
      <t xml:space="preserve">★A: </t>
    </r>
    <r>
      <rPr>
        <sz val="10"/>
        <rFont val="WenQuanYi Zen Hei"/>
        <family val="2"/>
      </rPr>
      <t xml:space="preserve">のど径 </t>
    </r>
    <r>
      <rPr>
        <sz val="10"/>
        <rFont val="Arial"/>
        <family val="0"/>
        <charset val="1"/>
      </rPr>
      <t xml:space="preserve">d_t</t>
    </r>
  </si>
  <si>
    <r>
      <rPr>
        <i val="true"/>
        <sz val="9"/>
        <color rgb="FF595959"/>
        <rFont val="Arial"/>
        <family val="0"/>
        <charset val="1"/>
      </rPr>
      <t xml:space="preserve">ISO 9300:2022 </t>
    </r>
    <r>
      <rPr>
        <i val="true"/>
        <sz val="9"/>
        <color rgb="FF595959"/>
        <rFont val="WenQuanYi Zen Hei"/>
        <family val="2"/>
      </rPr>
      <t xml:space="preserve">トロイダル形。</t>
    </r>
    <r>
      <rPr>
        <i val="true"/>
        <sz val="9"/>
        <color rgb="FF595959"/>
        <rFont val="Arial"/>
        <family val="0"/>
        <charset val="1"/>
      </rPr>
      <t xml:space="preserve">Cd = 0.9959 − 2.720·Re^−0.5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u(Cd)=0.3 % (k=2)</t>
    </r>
  </si>
  <si>
    <r>
      <rPr>
        <sz val="10"/>
        <rFont val="Arial"/>
        <family val="0"/>
        <charset val="1"/>
      </rPr>
      <t xml:space="preserve">  A: </t>
    </r>
    <r>
      <rPr>
        <sz val="10"/>
        <rFont val="WenQuanYi Zen Hei"/>
        <family val="2"/>
      </rPr>
      <t xml:space="preserve">のど </t>
    </r>
    <r>
      <rPr>
        <sz val="10"/>
        <rFont val="Arial"/>
        <family val="0"/>
        <charset val="1"/>
      </rPr>
      <t xml:space="preserve">Reynolds </t>
    </r>
    <r>
      <rPr>
        <sz val="10"/>
        <rFont val="WenQuanYi Zen Hei"/>
        <family val="2"/>
      </rPr>
      <t xml:space="preserve">数</t>
    </r>
  </si>
  <si>
    <r>
      <rPr>
        <i val="true"/>
        <sz val="9"/>
        <color rgb="FF595959"/>
        <rFont val="WenQuanYi Zen Hei"/>
        <family val="2"/>
      </rPr>
      <t xml:space="preserve">有効範囲 </t>
    </r>
    <r>
      <rPr>
        <i val="true"/>
        <sz val="9"/>
        <color rgb="FF595959"/>
        <rFont val="Arial"/>
        <family val="0"/>
        <charset val="1"/>
      </rPr>
      <t xml:space="preserve">2.1e4 ≤ Re ≤ 3.2e7</t>
    </r>
    <r>
      <rPr>
        <i val="true"/>
        <sz val="9"/>
        <color rgb="FF595959"/>
        <rFont val="WenQuanYi Zen Hei"/>
        <family val="2"/>
      </rPr>
      <t xml:space="preserve">。下限近傍は境界層遷移域なので実機校正が必須</t>
    </r>
  </si>
  <si>
    <r>
      <rPr>
        <i val="true"/>
        <sz val="9"/>
        <color rgb="FF595959"/>
        <rFont val="WenQuanYi Zen Hei"/>
        <family val="2"/>
      </rPr>
      <t xml:space="preserve">— ノズル </t>
    </r>
    <r>
      <rPr>
        <i val="true"/>
        <sz val="9"/>
        <color rgb="FF595959"/>
        <rFont val="Arial"/>
        <family val="0"/>
        <charset val="1"/>
      </rPr>
      <t xml:space="preserve">B</t>
    </r>
    <r>
      <rPr>
        <i val="true"/>
        <sz val="9"/>
        <color rgb="FF595959"/>
        <rFont val="WenQuanYi Zen Hei"/>
        <family val="2"/>
      </rPr>
      <t xml:space="preserve">（高速弁で開閉、</t>
    </r>
    <r>
      <rPr>
        <i val="true"/>
        <sz val="9"/>
        <color rgb="FF595959"/>
        <rFont val="Arial"/>
        <family val="0"/>
        <charset val="1"/>
      </rPr>
      <t xml:space="preserve">ΔQ </t>
    </r>
    <r>
      <rPr>
        <i val="true"/>
        <sz val="9"/>
        <color rgb="FF595959"/>
        <rFont val="WenQuanYi Zen Hei"/>
        <family val="2"/>
      </rPr>
      <t xml:space="preserve">分） —</t>
    </r>
  </si>
  <si>
    <r>
      <rPr>
        <sz val="10"/>
        <rFont val="Arial"/>
        <family val="0"/>
        <charset val="1"/>
      </rPr>
      <t xml:space="preserve">  B: </t>
    </r>
    <r>
      <rPr>
        <sz val="10"/>
        <rFont val="WenQuanYi Zen Hei"/>
        <family val="2"/>
      </rPr>
      <t xml:space="preserve">質量流量 </t>
    </r>
    <r>
      <rPr>
        <sz val="10"/>
        <rFont val="Arial"/>
        <family val="0"/>
        <charset val="1"/>
      </rPr>
      <t xml:space="preserve">q_m</t>
    </r>
  </si>
  <si>
    <r>
      <rPr>
        <sz val="10"/>
        <rFont val="Arial"/>
        <family val="0"/>
        <charset val="1"/>
      </rPr>
      <t xml:space="preserve">  B: </t>
    </r>
    <r>
      <rPr>
        <sz val="10"/>
        <rFont val="WenQuanYi Zen Hei"/>
        <family val="2"/>
      </rPr>
      <t xml:space="preserve">反復 初期値 </t>
    </r>
    <r>
      <rPr>
        <sz val="10"/>
        <rFont val="Arial"/>
        <family val="0"/>
        <charset val="1"/>
      </rPr>
      <t xml:space="preserve">Cd</t>
    </r>
  </si>
  <si>
    <r>
      <rPr>
        <sz val="10"/>
        <rFont val="Arial"/>
        <family val="0"/>
        <charset val="1"/>
      </rPr>
      <t xml:space="preserve">  B: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のど径 </t>
    </r>
    <r>
      <rPr>
        <sz val="10"/>
        <rFont val="Arial"/>
        <family val="0"/>
        <charset val="1"/>
      </rPr>
      <t xml:space="preserve">d_t</t>
    </r>
  </si>
  <si>
    <r>
      <rPr>
        <sz val="10"/>
        <rFont val="Arial"/>
        <family val="0"/>
        <charset val="1"/>
      </rPr>
      <t xml:space="preserve">  B: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1 Re / Cd</t>
    </r>
  </si>
  <si>
    <r>
      <rPr>
        <sz val="10"/>
        <rFont val="Arial"/>
        <family val="0"/>
        <charset val="1"/>
      </rPr>
      <t xml:space="preserve">  B: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のど径 </t>
    </r>
    <r>
      <rPr>
        <sz val="10"/>
        <rFont val="Arial"/>
        <family val="0"/>
        <charset val="1"/>
      </rPr>
      <t xml:space="preserve">d_t</t>
    </r>
  </si>
  <si>
    <r>
      <rPr>
        <sz val="10"/>
        <rFont val="Arial"/>
        <family val="0"/>
        <charset val="1"/>
      </rPr>
      <t xml:space="preserve">  B: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2 Re / Cd</t>
    </r>
  </si>
  <si>
    <r>
      <rPr>
        <sz val="10"/>
        <rFont val="Arial"/>
        <family val="0"/>
        <charset val="1"/>
      </rPr>
      <t xml:space="preserve">  B: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のど径 </t>
    </r>
    <r>
      <rPr>
        <sz val="10"/>
        <rFont val="Arial"/>
        <family val="0"/>
        <charset val="1"/>
      </rPr>
      <t xml:space="preserve">d_t</t>
    </r>
  </si>
  <si>
    <r>
      <rPr>
        <sz val="10"/>
        <rFont val="Arial"/>
        <family val="0"/>
        <charset val="1"/>
      </rPr>
      <t xml:space="preserve">  B: </t>
    </r>
    <r>
      <rPr>
        <sz val="10"/>
        <rFont val="WenQuanYi Zen Hei"/>
        <family val="2"/>
      </rPr>
      <t xml:space="preserve">反復</t>
    </r>
    <r>
      <rPr>
        <sz val="10"/>
        <rFont val="Arial"/>
        <family val="0"/>
        <charset val="1"/>
      </rPr>
      <t xml:space="preserve">3 Re / Cd</t>
    </r>
  </si>
  <si>
    <r>
      <rPr>
        <sz val="10"/>
        <rFont val="Arial"/>
        <family val="0"/>
        <charset val="1"/>
      </rPr>
      <t xml:space="preserve">★B: </t>
    </r>
    <r>
      <rPr>
        <sz val="10"/>
        <rFont val="WenQuanYi Zen Hei"/>
        <family val="2"/>
      </rPr>
      <t xml:space="preserve">のど径 </t>
    </r>
    <r>
      <rPr>
        <sz val="10"/>
        <rFont val="Arial"/>
        <family val="0"/>
        <charset val="1"/>
      </rPr>
      <t xml:space="preserve">d_t</t>
    </r>
  </si>
  <si>
    <r>
      <rPr>
        <sz val="10"/>
        <rFont val="Arial"/>
        <family val="0"/>
        <charset val="1"/>
      </rPr>
      <t xml:space="preserve">  B: </t>
    </r>
    <r>
      <rPr>
        <sz val="10"/>
        <rFont val="WenQuanYi Zen Hei"/>
        <family val="2"/>
      </rPr>
      <t xml:space="preserve">のど </t>
    </r>
    <r>
      <rPr>
        <sz val="10"/>
        <rFont val="Arial"/>
        <family val="0"/>
        <charset val="1"/>
      </rPr>
      <t xml:space="preserve">Reynolds </t>
    </r>
    <r>
      <rPr>
        <sz val="10"/>
        <rFont val="WenQuanYi Zen Hei"/>
        <family val="2"/>
      </rPr>
      <t xml:space="preserve">数</t>
    </r>
  </si>
  <si>
    <r>
      <rPr>
        <i val="true"/>
        <sz val="9"/>
        <color rgb="FF595959"/>
        <rFont val="WenQuanYi Zen Hei"/>
        <family val="2"/>
      </rPr>
      <t xml:space="preserve">【重要】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は振動緩和のため、のど滞在時間と緩和時間が同程度になり </t>
    </r>
    <r>
      <rPr>
        <i val="true"/>
        <sz val="9"/>
        <color rgb="FF595959"/>
        <rFont val="Arial"/>
        <family val="0"/>
        <charset val="1"/>
      </rPr>
      <t xml:space="preserve">Cd </t>
    </r>
    <r>
      <rPr>
        <i val="true"/>
        <sz val="9"/>
        <color rgb="FF595959"/>
        <rFont val="WenQuanYi Zen Hei"/>
        <family val="2"/>
      </rPr>
      <t xml:space="preserve">が最大 </t>
    </r>
    <r>
      <rPr>
        <i val="true"/>
        <sz val="9"/>
        <color rgb="FF595959"/>
        <rFont val="Arial"/>
        <family val="0"/>
        <charset val="1"/>
      </rPr>
      <t xml:space="preserve">2 % </t>
    </r>
    <r>
      <rPr>
        <i val="true"/>
        <sz val="9"/>
        <color rgb="FF595959"/>
        <rFont val="WenQuanYi Zen Hei"/>
        <family val="2"/>
      </rPr>
      <t xml:space="preserve">ずれる（</t>
    </r>
    <r>
      <rPr>
        <i val="true"/>
        <sz val="9"/>
        <color rgb="FF595959"/>
        <rFont val="Arial"/>
        <family val="0"/>
        <charset val="1"/>
      </rPr>
      <t xml:space="preserve">Johnson &amp; Wright, Flow Meas. Instrum. 11, 315, 2000</t>
    </r>
    <r>
      <rPr>
        <i val="true"/>
        <sz val="9"/>
        <color rgb="FF595959"/>
        <rFont val="WenQuanYi Zen Hei"/>
        <family val="2"/>
      </rPr>
      <t xml:space="preserve">）。</t>
    </r>
  </si>
  <si>
    <r>
      <rPr>
        <i val="true"/>
        <sz val="9"/>
        <color rgb="FF595959"/>
        <rFont val="WenQuanYi Zen Hei"/>
        <family val="2"/>
      </rPr>
      <t xml:space="preserve">　　　 空気で </t>
    </r>
    <r>
      <rPr>
        <i val="true"/>
        <sz val="9"/>
        <color rgb="FF595959"/>
        <rFont val="Arial"/>
        <family val="0"/>
        <charset val="1"/>
      </rPr>
      <t xml:space="preserve">0.2 % </t>
    </r>
    <r>
      <rPr>
        <i val="true"/>
        <sz val="9"/>
        <color rgb="FF595959"/>
        <rFont val="WenQuanYi Zen Hei"/>
        <family val="2"/>
      </rPr>
      <t xml:space="preserve">のノズルが 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では </t>
    </r>
    <r>
      <rPr>
        <i val="true"/>
        <sz val="9"/>
        <color rgb="FF595959"/>
        <rFont val="Arial"/>
        <family val="0"/>
        <charset val="1"/>
      </rPr>
      <t xml:space="preserve">2 % </t>
    </r>
    <r>
      <rPr>
        <i val="true"/>
        <sz val="9"/>
        <color rgb="FF595959"/>
        <rFont val="WenQuanYi Zen Hei"/>
        <family val="2"/>
      </rPr>
      <t xml:space="preserve">になりうる。必ず 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で、実機ののど径で校正すること。</t>
    </r>
  </si>
  <si>
    <r>
      <rPr>
        <b val="true"/>
        <sz val="10"/>
        <color rgb="FF1F3864"/>
        <rFont val="Arial"/>
        <family val="0"/>
        <charset val="1"/>
      </rPr>
      <t xml:space="preserve">C. </t>
    </r>
    <r>
      <rPr>
        <b val="true"/>
        <sz val="10"/>
        <color rgb="FF1F3864"/>
        <rFont val="WenQuanYi Zen Hei"/>
        <family val="2"/>
      </rPr>
      <t xml:space="preserve">切替アクチュエータの要求 </t>
    </r>
    <r>
      <rPr>
        <b val="true"/>
        <sz val="10"/>
        <color rgb="FF1F3864"/>
        <rFont val="Arial"/>
        <family val="0"/>
        <charset val="1"/>
      </rPr>
      <t xml:space="preserve">/ Switching actuator requirement</t>
    </r>
  </si>
  <si>
    <r>
      <rPr>
        <sz val="10"/>
        <rFont val="WenQuanYi Zen Hei"/>
        <family val="2"/>
      </rPr>
      <t xml:space="preserve">許容応答時間（周期の</t>
    </r>
    <r>
      <rPr>
        <sz val="10"/>
        <rFont val="Arial"/>
        <family val="0"/>
        <charset val="1"/>
      </rPr>
      <t xml:space="preserve">10 %</t>
    </r>
    <r>
      <rPr>
        <sz val="10"/>
        <rFont val="WenQuanYi Zen Hei"/>
        <family val="2"/>
      </rPr>
      <t xml:space="preserve">）</t>
    </r>
  </si>
  <si>
    <t xml:space="preserve">★弁応答の判定</t>
  </si>
  <si>
    <r>
      <rPr>
        <i val="true"/>
        <sz val="9"/>
        <color rgb="FF595959"/>
        <rFont val="Arial"/>
        <family val="0"/>
        <charset val="1"/>
      </rPr>
      <t xml:space="preserve">SMC SX10: ON 0.45 / OFF 0.40 ms, 1200 Hz</t>
    </r>
    <r>
      <rPr>
        <i val="true"/>
        <sz val="9"/>
        <color rgb="FF595959"/>
        <rFont val="WenQuanYi Zen Hei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Festo MHJ9/MHJ10: &lt;1 ms, 1000 Hz</t>
    </r>
    <r>
      <rPr>
        <i val="true"/>
        <sz val="9"/>
        <color rgb="FF595959"/>
        <rFont val="WenQuanYi Zen Hei"/>
        <family val="2"/>
      </rPr>
      <t xml:space="preserve">。スパイク</t>
    </r>
    <r>
      <rPr>
        <i val="true"/>
        <sz val="9"/>
        <color rgb="FF595959"/>
        <rFont val="Arial"/>
        <family val="0"/>
        <charset val="1"/>
      </rPr>
      <t xml:space="preserve">&amp;</t>
    </r>
    <r>
      <rPr>
        <i val="true"/>
        <sz val="9"/>
        <color rgb="FF595959"/>
        <rFont val="WenQuanYi Zen Hei"/>
        <family val="2"/>
      </rPr>
      <t xml:space="preserve">ホールド駆動が前提</t>
    </r>
  </si>
  <si>
    <r>
      <rPr>
        <sz val="10"/>
        <rFont val="WenQuanYi Zen Hei"/>
        <family val="2"/>
      </rPr>
      <t xml:space="preserve">サーマル </t>
    </r>
    <r>
      <rPr>
        <sz val="10"/>
        <rFont val="Arial"/>
        <family val="0"/>
        <charset val="1"/>
      </rPr>
      <t xml:space="preserve">MFC </t>
    </r>
    <r>
      <rPr>
        <sz val="10"/>
        <rFont val="WenQuanYi Zen Hei"/>
        <family val="2"/>
      </rPr>
      <t xml:space="preserve">の最速整定時間（参考）</t>
    </r>
  </si>
  <si>
    <r>
      <rPr>
        <i val="true"/>
        <sz val="9"/>
        <color rgb="FF595959"/>
        <rFont val="Arial"/>
        <family val="0"/>
        <charset val="1"/>
      </rPr>
      <t xml:space="preserve">Bronkhorst IQ+FLOW </t>
    </r>
    <r>
      <rPr>
        <i val="true"/>
        <sz val="9"/>
        <color rgb="FF595959"/>
        <rFont val="WenQuanYi Zen Hei"/>
        <family val="2"/>
      </rPr>
      <t xml:space="preserve">最速 </t>
    </r>
    <r>
      <rPr>
        <i val="true"/>
        <sz val="9"/>
        <color rgb="FF595959"/>
        <rFont val="Arial"/>
        <family val="0"/>
        <charset val="1"/>
      </rPr>
      <t xml:space="preserve">300 ms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EL-FLOW 1–2 s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Brooks GF40 &lt;1 s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Horiba SEC-Z500X 1 s</t>
    </r>
  </si>
  <si>
    <r>
      <rPr>
        <sz val="10"/>
        <rFont val="Arial"/>
        <family val="0"/>
        <charset val="1"/>
      </rPr>
      <t xml:space="preserve">  → MFC </t>
    </r>
    <r>
      <rPr>
        <sz val="10"/>
        <rFont val="WenQuanYi Zen Hei"/>
        <family val="2"/>
      </rPr>
      <t xml:space="preserve">は周期の何倍か</t>
    </r>
  </si>
  <si>
    <t xml:space="preserve">倍</t>
  </si>
  <si>
    <r>
      <rPr>
        <i val="true"/>
        <sz val="9"/>
        <color rgb="FF595959"/>
        <rFont val="WenQuanYi Zen Hei"/>
        <family val="2"/>
      </rPr>
      <t xml:space="preserve">★サーマル </t>
    </r>
    <r>
      <rPr>
        <i val="true"/>
        <sz val="9"/>
        <color rgb="FF595959"/>
        <rFont val="Arial"/>
        <family val="0"/>
        <charset val="1"/>
      </rPr>
      <t xml:space="preserve">MFC </t>
    </r>
    <r>
      <rPr>
        <i val="true"/>
        <sz val="9"/>
        <color rgb="FF595959"/>
        <rFont val="WenQuanYi Zen Hei"/>
        <family val="2"/>
      </rPr>
      <t xml:space="preserve">はセンサ管の熱時定数で物理的に律速。切替素子には使えない（校正基準としてのみ使用）</t>
    </r>
  </si>
  <si>
    <r>
      <rPr>
        <sz val="10"/>
        <rFont val="WenQuanYi Zen Hei"/>
        <family val="2"/>
      </rPr>
      <t xml:space="preserve">ピエゾ比例弁の代表応答（</t>
    </r>
    <r>
      <rPr>
        <sz val="10"/>
        <rFont val="Arial"/>
        <family val="0"/>
        <charset val="1"/>
      </rPr>
      <t xml:space="preserve">Festo VEMP</t>
    </r>
    <r>
      <rPr>
        <sz val="10"/>
        <rFont val="WenQuanYi Zen Hei"/>
        <family val="2"/>
      </rPr>
      <t xml:space="preserve">）</t>
    </r>
  </si>
  <si>
    <t xml:space="preserve">周期の半分。角波の生成には使えない</t>
  </si>
  <si>
    <r>
      <rPr>
        <b val="true"/>
        <sz val="14"/>
        <color rgb="FF1F3864"/>
        <rFont val="WenQuanYi Zen Hei"/>
        <family val="2"/>
      </rPr>
      <t xml:space="preserve">出力段の圧力安定性 </t>
    </r>
    <r>
      <rPr>
        <b val="true"/>
        <sz val="14"/>
        <color rgb="FF1F3864"/>
        <rFont val="Arial"/>
        <family val="0"/>
        <charset val="1"/>
      </rPr>
      <t xml:space="preserve">/ Pressure stability at the delivery plane</t>
    </r>
  </si>
  <si>
    <r>
      <rPr>
        <i val="true"/>
        <sz val="9"/>
        <color rgb="FF595959"/>
        <rFont val="WenQuanYi Zen Hei"/>
        <family val="2"/>
      </rPr>
      <t xml:space="preserve">【設計上の本質的トレードオフ】固定排気なら、</t>
    </r>
    <r>
      <rPr>
        <i val="true"/>
        <sz val="9"/>
        <color rgb="FF595959"/>
        <rFont val="Arial"/>
        <family val="0"/>
        <charset val="1"/>
      </rPr>
      <t xml:space="preserve">30 NLPM </t>
    </r>
    <r>
      <rPr>
        <i val="true"/>
        <sz val="9"/>
        <color rgb="FF595959"/>
        <rFont val="WenQuanYi Zen Hei"/>
        <family val="2"/>
      </rPr>
      <t xml:space="preserve">と </t>
    </r>
    <r>
      <rPr>
        <i val="true"/>
        <sz val="9"/>
        <color rgb="FF595959"/>
        <rFont val="Arial"/>
        <family val="0"/>
        <charset val="1"/>
      </rPr>
      <t xml:space="preserve">15 NLPM </t>
    </r>
    <r>
      <rPr>
        <i val="true"/>
        <sz val="9"/>
        <color rgb="FF595959"/>
        <rFont val="WenQuanYi Zen Hei"/>
        <family val="2"/>
      </rPr>
      <t xml:space="preserve">で同じ圧力にはならない。</t>
    </r>
  </si>
  <si>
    <r>
      <rPr>
        <i val="true"/>
        <sz val="9"/>
        <color rgb="FF595959"/>
        <rFont val="WenQuanYi Zen Hei"/>
        <family val="2"/>
      </rPr>
      <t xml:space="preserve">大容積で圧力を平滑化すると </t>
    </r>
    <r>
      <rPr>
        <i val="true"/>
        <sz val="9"/>
        <color rgb="FF595959"/>
        <rFont val="Arial"/>
        <family val="0"/>
        <charset val="1"/>
      </rPr>
      <t xml:space="preserve">30 ms </t>
    </r>
    <r>
      <rPr>
        <i val="true"/>
        <sz val="9"/>
        <color rgb="FF595959"/>
        <rFont val="WenQuanYi Zen Hei"/>
        <family val="2"/>
      </rPr>
      <t xml:space="preserve">の流量変調が消える。両立の唯一の解が『排気側を入口と同期して切り替える』ことである。</t>
    </r>
  </si>
  <si>
    <r>
      <rPr>
        <b val="true"/>
        <sz val="10"/>
        <color rgb="FF1F3864"/>
        <rFont val="Arial"/>
        <family val="0"/>
        <charset val="1"/>
      </rPr>
      <t xml:space="preserve">0. </t>
    </r>
    <r>
      <rPr>
        <b val="true"/>
        <sz val="10"/>
        <color rgb="FF1F3864"/>
        <rFont val="WenQuanYi Zen Hei"/>
        <family val="2"/>
      </rPr>
      <t xml:space="preserve">出力段の気体物性（以下で参照）</t>
    </r>
    <r>
      <rPr>
        <b val="true"/>
        <sz val="10"/>
        <color rgb="FF1F3864"/>
        <rFont val="Arial"/>
        <family val="0"/>
        <charset val="1"/>
      </rPr>
      <t xml:space="preserve">/ Delivery-plane gas properties</t>
    </r>
  </si>
  <si>
    <r>
      <rPr>
        <sz val="10"/>
        <rFont val="WenQuanYi Zen Hei"/>
        <family val="2"/>
      </rPr>
      <t xml:space="preserve">比熱比 </t>
    </r>
    <r>
      <rPr>
        <sz val="10"/>
        <rFont val="Arial"/>
        <family val="0"/>
        <charset val="1"/>
      </rPr>
      <t xml:space="preserve">γ_mix</t>
    </r>
    <r>
      <rPr>
        <sz val="10"/>
        <rFont val="WenQuanYi Zen Hei"/>
        <family val="2"/>
      </rPr>
      <t xml:space="preserve">（実在気体）</t>
    </r>
  </si>
  <si>
    <r>
      <rPr>
        <i val="true"/>
        <sz val="9"/>
        <color rgb="FF595959"/>
        <rFont val="Arial"/>
        <family val="0"/>
        <charset val="1"/>
      </rPr>
      <t xml:space="preserve">cp, cv </t>
    </r>
    <r>
      <rPr>
        <i val="true"/>
        <sz val="9"/>
        <color rgb="FF595959"/>
        <rFont val="WenQuanYi Zen Hei"/>
        <family val="2"/>
      </rPr>
      <t xml:space="preserve">とも第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ビリアルで実在気体補正</t>
    </r>
  </si>
  <si>
    <r>
      <rPr>
        <sz val="10"/>
        <rFont val="WenQuanYi Zen Hei"/>
        <family val="2"/>
      </rPr>
      <t xml:space="preserve">音速 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（平衡）</t>
    </r>
  </si>
  <si>
    <t xml:space="preserve">m/s</t>
  </si>
  <si>
    <r>
      <rPr>
        <i val="true"/>
        <sz val="9"/>
        <color rgb="FF595959"/>
        <rFont val="WenQuanYi Zen Hei"/>
        <family val="2"/>
      </rPr>
      <t xml:space="preserve">湿潤混合気体として評価（</t>
    </r>
    <r>
      <rPr>
        <i val="true"/>
        <sz val="9"/>
        <color rgb="FF595959"/>
        <rFont val="Arial"/>
        <family val="0"/>
        <charset val="1"/>
      </rPr>
      <t xml:space="preserve">M_mix </t>
    </r>
    <r>
      <rPr>
        <i val="true"/>
        <sz val="9"/>
        <color rgb="FF595959"/>
        <rFont val="WenQuanYi Zen Hei"/>
        <family val="2"/>
      </rPr>
      <t xml:space="preserve">を使用）。乾き 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なら </t>
    </r>
    <r>
      <rPr>
        <i val="true"/>
        <sz val="9"/>
        <color rgb="FF595959"/>
        <rFont val="Arial"/>
        <family val="0"/>
        <charset val="1"/>
      </rPr>
      <t xml:space="preserve">266.4 m/s</t>
    </r>
    <r>
      <rPr>
        <i val="true"/>
        <sz val="9"/>
        <color rgb="FF595959"/>
        <rFont val="WenQuanYi Zen Hei"/>
        <family val="2"/>
      </rPr>
      <t xml:space="preserve">、混合では </t>
    </r>
    <r>
      <rPr>
        <i val="true"/>
        <sz val="9"/>
        <color rgb="FF595959"/>
        <rFont val="Arial"/>
        <family val="0"/>
        <charset val="1"/>
      </rPr>
      <t xml:space="preserve">+1.1 m/s</t>
    </r>
  </si>
  <si>
    <r>
      <rPr>
        <sz val="10"/>
        <rFont val="WenQuanYi Zen Hei"/>
        <family val="2"/>
      </rPr>
      <t xml:space="preserve">オリフィス係数 </t>
    </r>
    <r>
      <rPr>
        <sz val="10"/>
        <rFont val="Arial"/>
        <family val="0"/>
        <charset val="1"/>
      </rPr>
      <t xml:space="preserve">K_or</t>
    </r>
  </si>
  <si>
    <r>
      <rPr>
        <i val="true"/>
        <sz val="9"/>
        <color rgb="FF595959"/>
        <rFont val="WenQuanYi Zen Hei"/>
        <family val="2"/>
      </rPr>
      <t xml:space="preserve">流量式 </t>
    </r>
    <r>
      <rPr>
        <i val="true"/>
        <sz val="9"/>
        <color rgb="FF595959"/>
        <rFont val="Arial"/>
        <family val="0"/>
        <charset val="1"/>
      </rPr>
      <t xml:space="preserve">q_m = K_or·A·p1·Ψ(p2/p1) </t>
    </r>
    <r>
      <rPr>
        <i val="true"/>
        <sz val="9"/>
        <color rgb="FF595959"/>
        <rFont val="WenQuanYi Zen Hei"/>
        <family val="2"/>
      </rPr>
      <t xml:space="preserve">の係数部分</t>
    </r>
  </si>
  <si>
    <r>
      <rPr>
        <b val="true"/>
        <sz val="10"/>
        <color rgb="FF1F3864"/>
        <rFont val="Arial"/>
        <family val="0"/>
        <charset val="1"/>
      </rPr>
      <t xml:space="preserve">A. </t>
    </r>
    <r>
      <rPr>
        <b val="true"/>
        <sz val="10"/>
        <color rgb="FF1F3864"/>
        <rFont val="WenQuanYi Zen Hei"/>
        <family val="2"/>
      </rPr>
      <t xml:space="preserve">受動バッファのみの場合（排気を切り替えない）</t>
    </r>
    <r>
      <rPr>
        <b val="true"/>
        <sz val="10"/>
        <color rgb="FF1F3864"/>
        <rFont val="Arial"/>
        <family val="0"/>
        <charset val="1"/>
      </rPr>
      <t xml:space="preserve">/ Passive buffer only</t>
    </r>
  </si>
  <si>
    <r>
      <rPr>
        <sz val="10"/>
        <rFont val="WenQuanYi Zen Hei"/>
        <family val="2"/>
      </rPr>
      <t xml:space="preserve">出力プレナム容積 </t>
    </r>
    <r>
      <rPr>
        <sz val="10"/>
        <rFont val="Arial"/>
        <family val="0"/>
        <charset val="1"/>
      </rPr>
      <t xml:space="preserve">V_2</t>
    </r>
  </si>
  <si>
    <r>
      <rPr>
        <sz val="10"/>
        <rFont val="WenQuanYi Zen Hei"/>
        <family val="2"/>
      </rPr>
      <t xml:space="preserve">空気圧キャパシタンス </t>
    </r>
    <r>
      <rPr>
        <sz val="10"/>
        <rFont val="Arial"/>
        <family val="0"/>
        <charset val="1"/>
      </rPr>
      <t xml:space="preserve">C = V/(n·R·T)</t>
    </r>
  </si>
  <si>
    <t xml:space="preserve">mol/Pa</t>
  </si>
  <si>
    <r>
      <rPr>
        <i val="true"/>
        <sz val="9"/>
        <color rgb="FF595959"/>
        <rFont val="Arial"/>
        <family val="0"/>
        <charset val="1"/>
      </rPr>
      <t xml:space="preserve">n=1 </t>
    </r>
    <r>
      <rPr>
        <i val="true"/>
        <sz val="9"/>
        <color rgb="FF595959"/>
        <rFont val="WenQuanYi Zen Hei"/>
        <family val="2"/>
      </rPr>
      <t xml:space="preserve">等温（遅い過程）、</t>
    </r>
    <r>
      <rPr>
        <i val="true"/>
        <sz val="9"/>
        <color rgb="FF595959"/>
        <rFont val="Arial"/>
        <family val="0"/>
        <charset val="1"/>
      </rPr>
      <t xml:space="preserve">n=γ≈1.29 </t>
    </r>
    <r>
      <rPr>
        <i val="true"/>
        <sz val="9"/>
        <color rgb="FF595959"/>
        <rFont val="WenQuanYi Zen Hei"/>
        <family val="2"/>
      </rPr>
      <t xml:space="preserve">断熱（速い過程）。</t>
    </r>
    <r>
      <rPr>
        <i val="true"/>
        <sz val="9"/>
        <color rgb="FF595959"/>
        <rFont val="Arial"/>
        <family val="0"/>
        <charset val="1"/>
      </rPr>
      <t xml:space="preserve">30 ms </t>
    </r>
    <r>
      <rPr>
        <i val="true"/>
        <sz val="9"/>
        <color rgb="FF595959"/>
        <rFont val="WenQuanYi Zen Hei"/>
        <family val="2"/>
      </rPr>
      <t xml:space="preserve">なら断熱側。両者で </t>
    </r>
    <r>
      <rPr>
        <i val="true"/>
        <sz val="9"/>
        <color rgb="FF595959"/>
        <rFont val="Arial"/>
        <family val="0"/>
        <charset val="1"/>
      </rPr>
      <t xml:space="preserve">29 % </t>
    </r>
    <r>
      <rPr>
        <i val="true"/>
        <sz val="9"/>
        <color rgb="FF595959"/>
        <rFont val="WenQuanYi Zen Hei"/>
        <family val="2"/>
      </rPr>
      <t xml:space="preserve">違う</t>
    </r>
  </si>
  <si>
    <r>
      <rPr>
        <sz val="10"/>
        <rFont val="WenQuanYi Zen Hei"/>
        <family val="2"/>
      </rPr>
      <t xml:space="preserve">半周期に蓄積されるモル数 </t>
    </r>
    <r>
      <rPr>
        <sz val="10"/>
        <rFont val="Arial"/>
        <family val="0"/>
        <charset val="1"/>
      </rPr>
      <t xml:space="preserve">Δn</t>
    </r>
  </si>
  <si>
    <t xml:space="preserve">mol</t>
  </si>
  <si>
    <r>
      <rPr>
        <sz val="10"/>
        <rFont val="WenQuanYi Zen Hei"/>
        <family val="2"/>
      </rPr>
      <t xml:space="preserve">★圧力リプル（</t>
    </r>
    <r>
      <rPr>
        <sz val="10"/>
        <rFont val="Arial"/>
        <family val="0"/>
        <charset val="1"/>
      </rPr>
      <t xml:space="preserve">peak-to-peak</t>
    </r>
    <r>
      <rPr>
        <sz val="10"/>
        <rFont val="WenQuanYi Zen Hei"/>
        <family val="2"/>
      </rPr>
      <t xml:space="preserve">）</t>
    </r>
  </si>
  <si>
    <t xml:space="preserve">  設定圧に対する比</t>
  </si>
  <si>
    <t xml:space="preserve">%</t>
  </si>
  <si>
    <r>
      <rPr>
        <sz val="10"/>
        <rFont val="Arial"/>
        <family val="0"/>
        <charset val="1"/>
      </rPr>
      <t xml:space="preserve">±0.5 % </t>
    </r>
    <r>
      <rPr>
        <sz val="10"/>
        <rFont val="WenQuanYi Zen Hei"/>
        <family val="2"/>
      </rPr>
      <t xml:space="preserve">に収めるのに必要な容積</t>
    </r>
  </si>
  <si>
    <t xml:space="preserve">この容積の滞在時間は切替周期の数十倍になり、流量変調が完全に失われる</t>
  </si>
  <si>
    <t xml:space="preserve">  その容積のガス滞在時間</t>
  </si>
  <si>
    <t xml:space="preserve">  → 切替周期の何倍か</t>
  </si>
  <si>
    <t xml:space="preserve">★これが『圧力を静かにすると流量変調が消える』という矛盾の定量表現</t>
  </si>
  <si>
    <r>
      <rPr>
        <b val="true"/>
        <sz val="10"/>
        <color rgb="FF1F3864"/>
        <rFont val="Arial"/>
        <family val="0"/>
        <charset val="1"/>
      </rPr>
      <t xml:space="preserve">B. </t>
    </r>
    <r>
      <rPr>
        <b val="true"/>
        <sz val="10"/>
        <color rgb="FF1F3864"/>
        <rFont val="WenQuanYi Zen Hei"/>
        <family val="2"/>
      </rPr>
      <t xml:space="preserve">固定排気オリフィスだと何が起きるか </t>
    </r>
    <r>
      <rPr>
        <b val="true"/>
        <sz val="10"/>
        <color rgb="FF1F3864"/>
        <rFont val="Arial"/>
        <family val="0"/>
        <charset val="1"/>
      </rPr>
      <t xml:space="preserve">/ Why a fixed exhaust orifice fails</t>
    </r>
  </si>
  <si>
    <r>
      <rPr>
        <sz val="10"/>
        <rFont val="WenQuanYi Zen Hei"/>
        <family val="2"/>
      </rPr>
      <t xml:space="preserve">排気圧力比 </t>
    </r>
    <r>
      <rPr>
        <sz val="10"/>
        <rFont val="Arial"/>
        <family val="0"/>
        <charset val="1"/>
      </rPr>
      <t xml:space="preserve">p_atm/p_out</t>
    </r>
  </si>
  <si>
    <t xml:space="preserve">  臨界圧力比（参考）</t>
  </si>
  <si>
    <t xml:space="preserve">排気は亜音速（チョークしない）→ 流量は上下流の両方に依存する</t>
  </si>
  <si>
    <r>
      <rPr>
        <sz val="10"/>
        <rFont val="WenQuanYi Zen Hei"/>
        <family val="2"/>
      </rPr>
      <t xml:space="preserve">流量関数 </t>
    </r>
    <r>
      <rPr>
        <sz val="10"/>
        <rFont val="Arial"/>
        <family val="0"/>
        <charset val="1"/>
      </rPr>
      <t xml:space="preserve">Ψ(p_atm/p_out)</t>
    </r>
  </si>
  <si>
    <r>
      <rPr>
        <sz val="10"/>
        <rFont val="Arial"/>
        <family val="0"/>
        <charset val="1"/>
      </rPr>
      <t xml:space="preserve">Q_L </t>
    </r>
    <r>
      <rPr>
        <sz val="10"/>
        <rFont val="WenQuanYi Zen Hei"/>
        <family val="2"/>
      </rPr>
      <t xml:space="preserve">を通す固定オリフィス径</t>
    </r>
  </si>
  <si>
    <r>
      <rPr>
        <sz val="10"/>
        <rFont val="WenQuanYi Zen Hei"/>
        <family val="2"/>
      </rPr>
      <t xml:space="preserve">  そのオリフィスに </t>
    </r>
    <r>
      <rPr>
        <sz val="10"/>
        <rFont val="Arial"/>
        <family val="0"/>
        <charset val="1"/>
      </rPr>
      <t xml:space="preserve">Q_H </t>
    </r>
    <r>
      <rPr>
        <sz val="10"/>
        <rFont val="WenQuanYi Zen Hei"/>
        <family val="2"/>
      </rPr>
      <t xml:space="preserve">を流したときの圧力（反復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</si>
  <si>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  反復 </t>
    </r>
    <r>
      <rPr>
        <sz val="10"/>
        <rFont val="Arial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</si>
  <si>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  反復 </t>
    </r>
    <r>
      <rPr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</si>
  <si>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  反復 </t>
    </r>
    <r>
      <rPr>
        <sz val="10"/>
        <rFont val="Arial"/>
        <family val="0"/>
        <charset val="1"/>
      </rPr>
      <t xml:space="preserve">4</t>
    </r>
  </si>
  <si>
    <r>
      <rPr>
        <sz val="10"/>
        <rFont val="WenQuanYi Zen Hei"/>
        <family val="2"/>
      </rPr>
      <t xml:space="preserve">★固定排気のとき </t>
    </r>
    <r>
      <rPr>
        <sz val="10"/>
        <rFont val="Arial"/>
        <family val="0"/>
        <charset val="1"/>
      </rPr>
      <t xml:space="preserve">Q_H </t>
    </r>
    <r>
      <rPr>
        <sz val="10"/>
        <rFont val="WenQuanYi Zen Hei"/>
        <family val="2"/>
      </rPr>
      <t xml:space="preserve">で生じるゲージ圧</t>
    </r>
  </si>
  <si>
    <r>
      <rPr>
        <i val="true"/>
        <sz val="9"/>
        <color rgb="FF595959"/>
        <rFont val="WenQuanYi Zen Hei"/>
        <family val="2"/>
      </rPr>
      <t xml:space="preserve">目標 </t>
    </r>
    <r>
      <rPr>
        <i val="true"/>
        <sz val="9"/>
        <color rgb="FF595959"/>
        <rFont val="Arial"/>
        <family val="0"/>
        <charset val="1"/>
      </rPr>
      <t xml:space="preserve">20 kPa </t>
    </r>
    <r>
      <rPr>
        <i val="true"/>
        <sz val="9"/>
        <color rgb="FF595959"/>
        <rFont val="WenQuanYi Zen Hei"/>
        <family val="2"/>
      </rPr>
      <t xml:space="preserve">に対して桁違い。固定排気では仕様を満たせないことの定量的証明</t>
    </r>
  </si>
  <si>
    <r>
      <rPr>
        <b val="true"/>
        <sz val="10"/>
        <color rgb="FF1F3864"/>
        <rFont val="Arial"/>
        <family val="0"/>
        <charset val="1"/>
      </rPr>
      <t xml:space="preserve">C. </t>
    </r>
    <r>
      <rPr>
        <b val="true"/>
        <sz val="10"/>
        <color rgb="FF1F3864"/>
        <rFont val="WenQuanYi Zen Hei"/>
        <family val="2"/>
      </rPr>
      <t xml:space="preserve">推奨構成</t>
    </r>
    <r>
      <rPr>
        <b val="true"/>
        <sz val="10"/>
        <color rgb="FF1F3864"/>
        <rFont val="Arial"/>
        <family val="0"/>
        <charset val="1"/>
      </rPr>
      <t xml:space="preserve">: </t>
    </r>
    <r>
      <rPr>
        <b val="true"/>
        <sz val="10"/>
        <color rgb="FF1F3864"/>
        <rFont val="WenQuanYi Zen Hei"/>
        <family val="2"/>
      </rPr>
      <t xml:space="preserve">排気側を同期切替 </t>
    </r>
    <r>
      <rPr>
        <b val="true"/>
        <sz val="10"/>
        <color rgb="FF1F3864"/>
        <rFont val="Arial"/>
        <family val="0"/>
        <charset val="1"/>
      </rPr>
      <t xml:space="preserve">/ Recommended: synchronised exhaust switching</t>
    </r>
  </si>
  <si>
    <r>
      <rPr>
        <i val="true"/>
        <sz val="9"/>
        <color rgb="FF595959"/>
        <rFont val="WenQuanYi Zen Hei"/>
        <family val="2"/>
      </rPr>
      <t xml:space="preserve">入口の高速弁と同じ信号で排気オリフィスも切り替える。定常状態では </t>
    </r>
    <r>
      <rPr>
        <i val="true"/>
        <sz val="9"/>
        <color rgb="FF595959"/>
        <rFont val="Arial"/>
        <family val="0"/>
        <charset val="1"/>
      </rPr>
      <t xml:space="preserve">Q_L / Q_H </t>
    </r>
    <r>
      <rPr>
        <i val="true"/>
        <sz val="9"/>
        <color rgb="FF595959"/>
        <rFont val="WenQuanYi Zen Hei"/>
        <family val="2"/>
      </rPr>
      <t xml:space="preserve">のどちらでも同じ </t>
    </r>
    <r>
      <rPr>
        <i val="true"/>
        <sz val="9"/>
        <color rgb="FF595959"/>
        <rFont val="Arial"/>
        <family val="0"/>
        <charset val="1"/>
      </rPr>
      <t xml:space="preserve">20 kPa </t>
    </r>
    <r>
      <rPr>
        <i val="true"/>
        <sz val="9"/>
        <color rgb="FF595959"/>
        <rFont val="WenQuanYi Zen Hei"/>
        <family val="2"/>
      </rPr>
      <t xml:space="preserve">を保つ。</t>
    </r>
  </si>
  <si>
    <r>
      <rPr>
        <sz val="10"/>
        <rFont val="WenQuanYi Zen Hei"/>
        <family val="2"/>
      </rPr>
      <t xml:space="preserve">排気オリフィス 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（常時開、</t>
    </r>
    <r>
      <rPr>
        <sz val="10"/>
        <rFont val="Arial"/>
        <family val="0"/>
        <charset val="1"/>
      </rPr>
      <t xml:space="preserve">Q_L </t>
    </r>
    <r>
      <rPr>
        <sz val="10"/>
        <rFont val="WenQuanYi Zen Hei"/>
        <family val="2"/>
      </rPr>
      <t xml:space="preserve">分）径</t>
    </r>
  </si>
  <si>
    <r>
      <rPr>
        <sz val="10"/>
        <rFont val="WenQuanYi Zen Hei"/>
        <family val="2"/>
      </rPr>
      <t xml:space="preserve">排気オリフィス 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（同期切替、</t>
    </r>
    <r>
      <rPr>
        <sz val="10"/>
        <rFont val="Arial"/>
        <family val="0"/>
        <charset val="1"/>
      </rPr>
      <t xml:space="preserve">ΔQ </t>
    </r>
    <r>
      <rPr>
        <sz val="10"/>
        <rFont val="WenQuanYi Zen Hei"/>
        <family val="2"/>
      </rPr>
      <t xml:space="preserve">分）径</t>
    </r>
  </si>
  <si>
    <r>
      <rPr>
        <sz val="10"/>
        <rFont val="WenQuanYi Zen Hei"/>
        <family val="2"/>
      </rPr>
      <t xml:space="preserve">合計（</t>
    </r>
    <r>
      <rPr>
        <sz val="10"/>
        <rFont val="Arial"/>
        <family val="0"/>
        <charset val="1"/>
      </rPr>
      <t xml:space="preserve">Q_H </t>
    </r>
    <r>
      <rPr>
        <sz val="10"/>
        <rFont val="WenQuanYi Zen Hei"/>
        <family val="2"/>
      </rPr>
      <t xml:space="preserve">時の等価径）</t>
    </r>
  </si>
  <si>
    <r>
      <rPr>
        <sz val="10"/>
        <rFont val="WenQuanYi Zen Hei"/>
        <family val="2"/>
      </rPr>
      <t xml:space="preserve">★残留リプル（弁の同期ずれ </t>
    </r>
    <r>
      <rPr>
        <sz val="10"/>
        <rFont val="Arial"/>
        <family val="0"/>
        <charset val="1"/>
      </rPr>
      <t xml:space="preserve">Δt_skew </t>
    </r>
    <r>
      <rPr>
        <sz val="10"/>
        <rFont val="WenQuanYi Zen Hei"/>
        <family val="2"/>
      </rPr>
      <t xml:space="preserve">による）</t>
    </r>
  </si>
  <si>
    <t xml:space="preserve">同期ずれの間だけ流入と流出が釣り合わない。これが達成可能な圧力精度を決める</t>
  </si>
  <si>
    <t xml:space="preserve">  受動バッファのみに対する改善率</t>
  </si>
  <si>
    <r>
      <rPr>
        <sz val="10"/>
        <rFont val="WenQuanYi Zen Hei"/>
        <family val="2"/>
      </rPr>
      <t xml:space="preserve">その圧力リプルが </t>
    </r>
    <r>
      <rPr>
        <sz val="10"/>
        <rFont val="Arial"/>
        <family val="0"/>
        <charset val="1"/>
      </rPr>
      <t xml:space="preserve">RH </t>
    </r>
    <r>
      <rPr>
        <sz val="10"/>
        <rFont val="WenQuanYi Zen Hei"/>
        <family val="2"/>
      </rPr>
      <t xml:space="preserve">に与える誤差</t>
    </r>
  </si>
  <si>
    <r>
      <rPr>
        <i val="true"/>
        <sz val="9"/>
        <color rgb="FF595959"/>
        <rFont val="Arial"/>
        <family val="0"/>
        <charset val="1"/>
      </rPr>
      <t xml:space="preserve">RH ∝ p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x_v, T </t>
    </r>
    <r>
      <rPr>
        <i val="true"/>
        <sz val="9"/>
        <color rgb="FF595959"/>
        <rFont val="WenQuanYi Zen Hei"/>
        <family val="2"/>
      </rPr>
      <t xml:space="preserve">一定）。圧力よりも温度の方がはるかに効く（</t>
    </r>
    <r>
      <rPr>
        <i val="true"/>
        <sz val="9"/>
        <color rgb="FF595959"/>
        <rFont val="Arial"/>
        <family val="0"/>
        <charset val="1"/>
      </rPr>
      <t xml:space="preserve">09_</t>
    </r>
    <r>
      <rPr>
        <i val="true"/>
        <sz val="9"/>
        <color rgb="FF595959"/>
        <rFont val="WenQuanYi Zen Hei"/>
        <family val="2"/>
      </rPr>
      <t xml:space="preserve">感度解析 参照）</t>
    </r>
  </si>
  <si>
    <r>
      <rPr>
        <b val="true"/>
        <sz val="10"/>
        <color rgb="FF1F3864"/>
        <rFont val="Arial"/>
        <family val="0"/>
        <charset val="1"/>
      </rPr>
      <t xml:space="preserve">D. </t>
    </r>
    <r>
      <rPr>
        <b val="true"/>
        <sz val="10"/>
        <color rgb="FF1F3864"/>
        <rFont val="WenQuanYi Zen Hei"/>
        <family val="2"/>
      </rPr>
      <t xml:space="preserve">音響・容積の制約 </t>
    </r>
    <r>
      <rPr>
        <b val="true"/>
        <sz val="10"/>
        <color rgb="FF1F3864"/>
        <rFont val="Arial"/>
        <family val="0"/>
        <charset val="1"/>
      </rPr>
      <t xml:space="preserve">/ Acoustic and dead-volume limits</t>
    </r>
  </si>
  <si>
    <t xml:space="preserve">音速（平衡、振動緩和あり）</t>
  </si>
  <si>
    <r>
      <rPr>
        <i val="true"/>
        <sz val="9"/>
        <color rgb="FF595959"/>
        <rFont val="WenQuanYi Zen Hei"/>
        <family val="2"/>
      </rPr>
      <t xml:space="preserve">上段</t>
    </r>
    <r>
      <rPr>
        <i val="true"/>
        <sz val="9"/>
        <color rgb="FF595959"/>
        <rFont val="Arial"/>
        <family val="0"/>
        <charset val="1"/>
      </rPr>
      <t xml:space="preserve">(0</t>
    </r>
    <r>
      <rPr>
        <i val="true"/>
        <sz val="9"/>
        <color rgb="FF595959"/>
        <rFont val="WenQuanYi Zen Hei"/>
        <family val="2"/>
      </rPr>
      <t xml:space="preserve">節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で算出した値</t>
    </r>
  </si>
  <si>
    <r>
      <rPr>
        <sz val="10"/>
        <rFont val="WenQuanYi Zen Hei"/>
        <family val="2"/>
      </rPr>
      <t xml:space="preserve">音速（凍結、</t>
    </r>
    <r>
      <rPr>
        <sz val="10"/>
        <rFont val="Arial"/>
        <family val="0"/>
        <charset val="1"/>
      </rPr>
      <t xml:space="preserve">γ=7/5 </t>
    </r>
    <r>
      <rPr>
        <sz val="10"/>
        <rFont val="WenQuanYi Zen Hei"/>
        <family val="2"/>
      </rPr>
      <t xml:space="preserve">の高周波極限）</t>
    </r>
  </si>
  <si>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は振動緩和で強く分散する。切替エッジの高周波成分は約 </t>
    </r>
    <r>
      <rPr>
        <i val="true"/>
        <sz val="9"/>
        <color rgb="FF595959"/>
        <rFont val="Arial"/>
        <family val="0"/>
        <charset val="1"/>
      </rPr>
      <t xml:space="preserve">4.5 % </t>
    </r>
    <r>
      <rPr>
        <i val="true"/>
        <sz val="9"/>
        <color rgb="FF595959"/>
        <rFont val="WenQuanYi Zen Hei"/>
        <family val="2"/>
      </rPr>
      <t xml:space="preserve">速い音速を見る</t>
    </r>
  </si>
  <si>
    <r>
      <rPr>
        <sz val="10"/>
        <rFont val="WenQuanYi Zen Hei"/>
        <family val="2"/>
      </rPr>
      <t xml:space="preserve">★集中定数モデルの配管長限界 </t>
    </r>
    <r>
      <rPr>
        <sz val="10"/>
        <rFont val="Arial"/>
        <family val="0"/>
        <charset val="1"/>
      </rPr>
      <t xml:space="preserve">L &lt; c·t_r/10</t>
    </r>
  </si>
  <si>
    <t xml:space="preserve">弁のエッジで判定する（基本波ではなく）。これを超える配管は伝送線路として扱う必要がある</t>
  </si>
  <si>
    <t xml:space="preserve">  実際の配管長</t>
  </si>
  <si>
    <t xml:space="preserve">  判定</t>
  </si>
  <si>
    <r>
      <rPr>
        <sz val="10"/>
        <rFont val="Arial"/>
        <family val="0"/>
        <charset val="1"/>
      </rPr>
      <t xml:space="preserve">1/4</t>
    </r>
    <r>
      <rPr>
        <sz val="10"/>
        <rFont val="WenQuanYi Zen Hei"/>
        <family val="2"/>
      </rPr>
      <t xml:space="preserve">波長共振周波数 </t>
    </r>
    <r>
      <rPr>
        <sz val="10"/>
        <rFont val="Arial"/>
        <family val="0"/>
        <charset val="1"/>
      </rPr>
      <t xml:space="preserve">c/(4L)</t>
    </r>
  </si>
  <si>
    <t xml:space="preserve">切替の高調波と重ならないこと</t>
  </si>
  <si>
    <r>
      <rPr>
        <sz val="10"/>
        <rFont val="WenQuanYi Zen Hei"/>
        <family val="2"/>
      </rPr>
      <t xml:space="preserve">ヘルムホルツ共鳴周波数 </t>
    </r>
    <r>
      <rPr>
        <sz val="10"/>
        <rFont val="Arial"/>
        <family val="0"/>
        <charset val="1"/>
      </rPr>
      <t xml:space="preserve">f_H</t>
    </r>
  </si>
  <si>
    <r>
      <rPr>
        <i val="true"/>
        <sz val="9"/>
        <color rgb="FF595959"/>
        <rFont val="WenQuanYi Zen Hei"/>
        <family val="2"/>
      </rPr>
      <t xml:space="preserve">★プレナム容積と首部で決まる。切替の第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高調波より上に置くこと</t>
    </r>
  </si>
  <si>
    <r>
      <rPr>
        <sz val="10"/>
        <rFont val="WenQuanYi Zen Hei"/>
        <family val="2"/>
      </rPr>
      <t xml:space="preserve">  切替基本波 </t>
    </r>
    <r>
      <rPr>
        <sz val="10"/>
        <rFont val="Arial"/>
        <family val="0"/>
        <charset val="1"/>
      </rPr>
      <t xml:space="preserve">f_sw</t>
    </r>
  </si>
  <si>
    <r>
      <rPr>
        <sz val="10"/>
        <rFont val="WenQuanYi Zen Hei"/>
        <family val="2"/>
      </rPr>
      <t xml:space="preserve">  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高調波</t>
    </r>
  </si>
  <si>
    <r>
      <rPr>
        <sz val="10"/>
        <rFont val="WenQuanYi Zen Hei"/>
        <family val="2"/>
      </rPr>
      <t xml:space="preserve">半周期あたりの掃気体積（</t>
    </r>
    <r>
      <rPr>
        <sz val="10"/>
        <rFont val="Arial"/>
        <family val="0"/>
        <charset val="1"/>
      </rPr>
      <t xml:space="preserve">Q_H</t>
    </r>
    <r>
      <rPr>
        <sz val="10"/>
        <rFont val="WenQuanYi Zen Hei"/>
        <family val="2"/>
      </rPr>
      <t xml:space="preserve">）</t>
    </r>
  </si>
  <si>
    <t xml:space="preserve">★切替弁より下流の死容積はこれより十分小さいこと。さもないとエッジが鈍る</t>
  </si>
  <si>
    <r>
      <rPr>
        <sz val="10"/>
        <rFont val="WenQuanYi Zen Hei"/>
        <family val="2"/>
      </rPr>
      <t xml:space="preserve">  死容積の推奨上限（掃気体積の</t>
    </r>
    <r>
      <rPr>
        <sz val="10"/>
        <rFont val="Arial"/>
        <family val="0"/>
        <charset val="1"/>
      </rPr>
      <t xml:space="preserve">1/5</t>
    </r>
    <r>
      <rPr>
        <sz val="10"/>
        <rFont val="WenQuanYi Zen Hei"/>
        <family val="2"/>
      </rPr>
      <t xml:space="preserve">）</t>
    </r>
  </si>
  <si>
    <r>
      <rPr>
        <b val="true"/>
        <sz val="10"/>
        <color rgb="FF1F3864"/>
        <rFont val="Arial"/>
        <family val="0"/>
        <charset val="1"/>
      </rPr>
      <t xml:space="preserve">E. </t>
    </r>
    <r>
      <rPr>
        <b val="true"/>
        <sz val="10"/>
        <color rgb="FF1F3864"/>
        <rFont val="WenQuanYi Zen Hei"/>
        <family val="2"/>
      </rPr>
      <t xml:space="preserve">平均圧の制御 </t>
    </r>
    <r>
      <rPr>
        <b val="true"/>
        <sz val="10"/>
        <color rgb="FF1F3864"/>
        <rFont val="Arial"/>
        <family val="0"/>
        <charset val="1"/>
      </rPr>
      <t xml:space="preserve">/ Mean-pressure control (regulator, DC only)</t>
    </r>
  </si>
  <si>
    <r>
      <rPr>
        <i val="true"/>
        <sz val="9"/>
        <color rgb="FF595959"/>
        <rFont val="Arial"/>
        <family val="0"/>
        <charset val="1"/>
      </rPr>
      <t xml:space="preserve">33 Hz </t>
    </r>
    <r>
      <rPr>
        <i val="true"/>
        <sz val="9"/>
        <color rgb="FF595959"/>
        <rFont val="WenQuanYi Zen Hei"/>
        <family val="2"/>
      </rPr>
      <t xml:space="preserve">帯のリプルを制御器で潰すのは不可能</t>
    </r>
    <r>
      <rPr>
        <i val="true"/>
        <sz val="9"/>
        <color rgb="FF595959"/>
        <rFont val="Arial"/>
        <family val="0"/>
        <charset val="1"/>
      </rPr>
      <t xml:space="preserve">: Alicat PC </t>
    </r>
    <r>
      <rPr>
        <i val="true"/>
        <sz val="9"/>
        <color rgb="FF595959"/>
        <rFont val="WenQuanYi Zen Hei"/>
        <family val="2"/>
      </rPr>
      <t xml:space="preserve">は </t>
    </r>
    <r>
      <rPr>
        <i val="true"/>
        <sz val="9"/>
        <color rgb="FF595959"/>
        <rFont val="Arial"/>
        <family val="0"/>
        <charset val="1"/>
      </rPr>
      <t xml:space="preserve">30 ms</t>
    </r>
    <r>
      <rPr>
        <i val="true"/>
        <sz val="9"/>
        <color rgb="FF595959"/>
        <rFont val="WenQuanYi Zen Hei"/>
        <family val="2"/>
      </rPr>
      <t xml:space="preserve">（＝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周期、位相遅れ</t>
    </r>
    <r>
      <rPr>
        <i val="true"/>
        <sz val="9"/>
        <color rgb="FF595959"/>
        <rFont val="Arial"/>
        <family val="0"/>
        <charset val="1"/>
      </rPr>
      <t xml:space="preserve">360°</t>
    </r>
    <r>
      <rPr>
        <i val="true"/>
        <sz val="9"/>
        <color rgb="FF595959"/>
        <rFont val="WenQuanYi Zen Hei"/>
        <family val="2"/>
      </rPr>
      <t xml:space="preserve">）、</t>
    </r>
    <r>
      <rPr>
        <i val="true"/>
        <sz val="9"/>
        <color rgb="FF595959"/>
        <rFont val="Arial"/>
        <family val="0"/>
        <charset val="1"/>
      </rPr>
      <t xml:space="preserve">Tescom ER3000 </t>
    </r>
    <r>
      <rPr>
        <i val="true"/>
        <sz val="9"/>
        <color rgb="FF595959"/>
        <rFont val="WenQuanYi Zen Hei"/>
        <family val="2"/>
      </rPr>
      <t xml:space="preserve">は </t>
    </r>
    <r>
      <rPr>
        <i val="true"/>
        <sz val="9"/>
        <color rgb="FF595959"/>
        <rFont val="Arial"/>
        <family val="0"/>
        <charset val="1"/>
      </rPr>
      <t xml:space="preserve">552 ms</t>
    </r>
    <r>
      <rPr>
        <i val="true"/>
        <sz val="9"/>
        <color rgb="FF595959"/>
        <rFont val="WenQuanYi Zen Hei"/>
        <family val="2"/>
      </rPr>
      <t xml:space="preserve">。</t>
    </r>
  </si>
  <si>
    <r>
      <rPr>
        <i val="true"/>
        <sz val="9"/>
        <color rgb="FF595959"/>
        <rFont val="WenQuanYi Zen Hei"/>
        <family val="2"/>
      </rPr>
      <t xml:space="preserve">最速級の </t>
    </r>
    <r>
      <rPr>
        <i val="true"/>
        <sz val="9"/>
        <color rgb="FF595959"/>
        <rFont val="Arial"/>
        <family val="0"/>
        <charset val="1"/>
      </rPr>
      <t xml:space="preserve">Equilibar </t>
    </r>
    <r>
      <rPr>
        <i val="true"/>
        <sz val="9"/>
        <color rgb="FF595959"/>
        <rFont val="WenQuanYi Zen Hei"/>
        <family val="2"/>
      </rPr>
      <t xml:space="preserve">ドームロード背圧弁でも約 </t>
    </r>
    <r>
      <rPr>
        <i val="true"/>
        <sz val="9"/>
        <color rgb="FF595959"/>
        <rFont val="Arial"/>
        <family val="0"/>
        <charset val="1"/>
      </rPr>
      <t xml:space="preserve">10 ms</t>
    </r>
    <r>
      <rPr>
        <i val="true"/>
        <sz val="9"/>
        <color rgb="FF595959"/>
        <rFont val="WenQuanYi Zen Hei"/>
        <family val="2"/>
      </rPr>
      <t xml:space="preserve">。背圧弁は平均圧の保持のみに使い、リプルは受動＋同期排気で処理する。</t>
    </r>
  </si>
  <si>
    <t xml:space="preserve">背圧弁に要求される帯域（平均圧保持のみ）</t>
  </si>
  <si>
    <t xml:space="preserve">上記いずれの機種でも十分</t>
  </si>
  <si>
    <r>
      <rPr>
        <b val="true"/>
        <sz val="14"/>
        <color rgb="FF1F3864"/>
        <rFont val="WenQuanYi Zen Hei"/>
        <family val="2"/>
      </rPr>
      <t xml:space="preserve">熱・水収支 </t>
    </r>
    <r>
      <rPr>
        <b val="true"/>
        <sz val="14"/>
        <color rgb="FF1F3864"/>
        <rFont val="Arial"/>
        <family val="0"/>
        <charset val="1"/>
      </rPr>
      <t xml:space="preserve">/ Thermal and water balance</t>
    </r>
  </si>
  <si>
    <r>
      <rPr>
        <b val="true"/>
        <sz val="10"/>
        <color rgb="FF1F3864"/>
        <rFont val="Arial"/>
        <family val="0"/>
        <charset val="1"/>
      </rPr>
      <t xml:space="preserve">A. </t>
    </r>
    <r>
      <rPr>
        <b val="true"/>
        <sz val="10"/>
        <color rgb="FF1F3864"/>
        <rFont val="WenQuanYi Zen Hei"/>
        <family val="2"/>
      </rPr>
      <t xml:space="preserve">加湿に必要な水 </t>
    </r>
    <r>
      <rPr>
        <b val="true"/>
        <sz val="10"/>
        <color rgb="FF1F3864"/>
        <rFont val="Arial"/>
        <family val="0"/>
        <charset val="1"/>
      </rPr>
      <t xml:space="preserve">/ Water demand</t>
    </r>
  </si>
  <si>
    <r>
      <rPr>
        <sz val="10"/>
        <rFont val="WenQuanYi Zen Hei"/>
        <family val="2"/>
      </rPr>
      <t xml:space="preserve">水蒸気モル流量（</t>
    </r>
    <r>
      <rPr>
        <sz val="10"/>
        <rFont val="Arial"/>
        <family val="0"/>
        <charset val="1"/>
      </rPr>
      <t xml:space="preserve">Q_H </t>
    </r>
    <r>
      <rPr>
        <sz val="10"/>
        <rFont val="WenQuanYi Zen Hei"/>
        <family val="2"/>
      </rPr>
      <t xml:space="preserve">時）</t>
    </r>
  </si>
  <si>
    <r>
      <rPr>
        <sz val="10"/>
        <rFont val="WenQuanYi Zen Hei"/>
        <family val="2"/>
      </rPr>
      <t xml:space="preserve">★蒸発させる水の量（</t>
    </r>
    <r>
      <rPr>
        <sz val="10"/>
        <rFont val="Arial"/>
        <family val="0"/>
        <charset val="1"/>
      </rPr>
      <t xml:space="preserve">Q_H</t>
    </r>
    <r>
      <rPr>
        <sz val="10"/>
        <rFont val="WenQuanYi Zen Hei"/>
        <family val="2"/>
      </rPr>
      <t xml:space="preserve">、乾ガスから）</t>
    </r>
  </si>
  <si>
    <t xml:space="preserve">g/h</t>
  </si>
  <si>
    <r>
      <rPr>
        <sz val="10"/>
        <rFont val="WenQuanYi Zen Hei"/>
        <family val="2"/>
      </rPr>
      <t xml:space="preserve">  同（</t>
    </r>
    <r>
      <rPr>
        <sz val="10"/>
        <rFont val="Arial"/>
        <family val="0"/>
        <charset val="1"/>
      </rPr>
      <t xml:space="preserve">Q_L </t>
    </r>
    <r>
      <rPr>
        <sz val="10"/>
        <rFont val="WenQuanYi Zen Hei"/>
        <family val="2"/>
      </rPr>
      <t xml:space="preserve">時）</t>
    </r>
  </si>
  <si>
    <r>
      <rPr>
        <sz val="10"/>
        <rFont val="WenQuanYi Zen Hei"/>
        <family val="2"/>
      </rPr>
      <t xml:space="preserve">水の蒸発潜熱 </t>
    </r>
    <r>
      <rPr>
        <sz val="10"/>
        <rFont val="Arial"/>
        <family val="0"/>
        <charset val="1"/>
      </rPr>
      <t xml:space="preserve">Δh_vap(T_out)</t>
    </r>
  </si>
  <si>
    <t xml:space="preserve">kJ/kg</t>
  </si>
  <si>
    <r>
      <rPr>
        <i val="true"/>
        <sz val="9"/>
        <color rgb="FF595959"/>
        <rFont val="Arial"/>
        <family val="0"/>
        <charset val="1"/>
      </rPr>
      <t xml:space="preserve">IAPWS-95 </t>
    </r>
    <r>
      <rPr>
        <i val="true"/>
        <sz val="9"/>
        <color rgb="FF595959"/>
        <rFont val="WenQuanYi Zen Hei"/>
        <family val="2"/>
      </rPr>
      <t xml:space="preserve">へのフィット。</t>
    </r>
    <r>
      <rPr>
        <i val="true"/>
        <sz val="9"/>
        <color rgb="FF595959"/>
        <rFont val="Arial"/>
        <family val="0"/>
        <charset val="1"/>
      </rPr>
      <t xml:space="preserve">20 °C </t>
    </r>
    <r>
      <rPr>
        <i val="true"/>
        <sz val="9"/>
        <color rgb="FF595959"/>
        <rFont val="WenQuanYi Zen Hei"/>
        <family val="2"/>
      </rPr>
      <t xml:space="preserve">で </t>
    </r>
    <r>
      <rPr>
        <i val="true"/>
        <sz val="9"/>
        <color rgb="FF595959"/>
        <rFont val="Arial"/>
        <family val="0"/>
        <charset val="1"/>
      </rPr>
      <t xml:space="preserve">2453.5 kJ/kg</t>
    </r>
  </si>
  <si>
    <t xml:space="preserve">★潜熱負荷</t>
  </si>
  <si>
    <t xml:space="preserve">W</t>
  </si>
  <si>
    <r>
      <rPr>
        <b val="true"/>
        <sz val="10"/>
        <color rgb="FF1F3864"/>
        <rFont val="Arial"/>
        <family val="0"/>
        <charset val="1"/>
      </rPr>
      <t xml:space="preserve">B. </t>
    </r>
    <r>
      <rPr>
        <b val="true"/>
        <sz val="10"/>
        <color rgb="FF1F3864"/>
        <rFont val="WenQuanYi Zen Hei"/>
        <family val="2"/>
      </rPr>
      <t xml:space="preserve">顕熱（加熱・冷却）</t>
    </r>
    <r>
      <rPr>
        <b val="true"/>
        <sz val="10"/>
        <color rgb="FF1F3864"/>
        <rFont val="Arial"/>
        <family val="0"/>
        <charset val="1"/>
      </rPr>
      <t xml:space="preserve">/ Sensible duty</t>
    </r>
  </si>
  <si>
    <r>
      <rPr>
        <sz val="10"/>
        <rFont val="WenQuanYi Zen Hei"/>
        <family val="2"/>
      </rPr>
      <t xml:space="preserve">混合気体のモル比熱 </t>
    </r>
    <r>
      <rPr>
        <sz val="10"/>
        <rFont val="Arial"/>
        <family val="0"/>
        <charset val="1"/>
      </rPr>
      <t xml:space="preserve">cp_mix</t>
    </r>
    <r>
      <rPr>
        <sz val="10"/>
        <rFont val="WenQuanYi Zen Hei"/>
        <family val="2"/>
      </rPr>
      <t xml:space="preserve">（出力段）</t>
    </r>
  </si>
  <si>
    <t xml:space="preserve">J/(mol·K)</t>
  </si>
  <si>
    <r>
      <rPr>
        <sz val="10"/>
        <rFont val="WenQuanYi Zen Hei"/>
        <family val="2"/>
      </rPr>
      <t xml:space="preserve">  質量基準 </t>
    </r>
    <r>
      <rPr>
        <sz val="10"/>
        <rFont val="Arial"/>
        <family val="0"/>
        <charset val="1"/>
      </rPr>
      <t xml:space="preserve">cp</t>
    </r>
  </si>
  <si>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は </t>
    </r>
    <r>
      <rPr>
        <i val="true"/>
        <sz val="9"/>
        <color rgb="FF595959"/>
        <rFont val="Arial"/>
        <family val="0"/>
        <charset val="1"/>
      </rPr>
      <t xml:space="preserve">846 J/(kg·K)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20 °C, 1 atm</t>
    </r>
    <r>
      <rPr>
        <i val="true"/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</si>
  <si>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顕熱負荷 </t>
    </r>
    <r>
      <rPr>
        <sz val="10"/>
        <rFont val="Arial"/>
        <family val="0"/>
        <charset val="1"/>
      </rPr>
      <t xml:space="preserve">1 K </t>
    </r>
    <r>
      <rPr>
        <sz val="10"/>
        <rFont val="WenQuanYi Zen Hei"/>
        <family val="2"/>
      </rPr>
      <t xml:space="preserve">あたり（</t>
    </r>
    <r>
      <rPr>
        <sz val="10"/>
        <rFont val="Arial"/>
        <family val="0"/>
        <charset val="1"/>
      </rPr>
      <t xml:space="preserve">Q_H</t>
    </r>
    <r>
      <rPr>
        <sz val="10"/>
        <rFont val="WenQuanYi Zen Hei"/>
        <family val="2"/>
      </rPr>
      <t xml:space="preserve">）</t>
    </r>
  </si>
  <si>
    <t xml:space="preserve">W/K</t>
  </si>
  <si>
    <r>
      <rPr>
        <sz val="10"/>
        <rFont val="Arial"/>
        <family val="0"/>
        <charset val="1"/>
      </rPr>
      <t xml:space="preserve">S2 → S3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JT </t>
    </r>
    <r>
      <rPr>
        <sz val="10"/>
        <rFont val="WenQuanYi Zen Hei"/>
        <family val="2"/>
      </rPr>
      <t xml:space="preserve">膨張）の温度変化</t>
    </r>
  </si>
  <si>
    <t xml:space="preserve">自然に起きる冷却（加熱器不要）</t>
  </si>
  <si>
    <r>
      <rPr>
        <sz val="10"/>
        <rFont val="Arial"/>
        <family val="0"/>
        <charset val="1"/>
      </rPr>
      <t xml:space="preserve">★S3 → S4 </t>
    </r>
    <r>
      <rPr>
        <sz val="10"/>
        <rFont val="WenQuanYi Zen Hei"/>
        <family val="2"/>
      </rPr>
      <t xml:space="preserve">の恒温化に要する熱量</t>
    </r>
  </si>
  <si>
    <r>
      <rPr>
        <i val="true"/>
        <sz val="9"/>
        <color rgb="FF595959"/>
        <rFont val="WenQuanYi Zen Hei"/>
        <family val="2"/>
      </rPr>
      <t xml:space="preserve">負なら冷却。出力プレナムを恒温槽／ペルチェで </t>
    </r>
    <r>
      <rPr>
        <i val="true"/>
        <sz val="9"/>
        <color rgb="FF595959"/>
        <rFont val="Arial"/>
        <family val="0"/>
        <charset val="1"/>
      </rPr>
      <t xml:space="preserve">20.0 ± 0.2 °C </t>
    </r>
    <r>
      <rPr>
        <i val="true"/>
        <sz val="9"/>
        <color rgb="FF595959"/>
        <rFont val="WenQuanYi Zen Hei"/>
        <family val="2"/>
      </rPr>
      <t xml:space="preserve">に保つ</t>
    </r>
  </si>
  <si>
    <t xml:space="preserve">飽和器の蒸発潜熱による自己冷却</t>
  </si>
  <si>
    <t xml:space="preserve">飽和器は恒温制御が必須（放置すると自己冷却でドリフトする）</t>
  </si>
  <si>
    <t xml:space="preserve">配管からの放熱（概算）</t>
  </si>
  <si>
    <r>
      <rPr>
        <i val="true"/>
        <sz val="9"/>
        <color rgb="FF595959"/>
        <rFont val="Arial"/>
        <family val="0"/>
        <charset val="1"/>
      </rPr>
      <t xml:space="preserve">h≈10 W/(m²K)</t>
    </r>
    <r>
      <rPr>
        <i val="true"/>
        <sz val="9"/>
        <color rgb="FF595959"/>
        <rFont val="WenQuanYi Zen Hei"/>
        <family val="2"/>
      </rPr>
      <t xml:space="preserve">、無保温・自然対流。断熱すれば </t>
    </r>
    <r>
      <rPr>
        <i val="true"/>
        <sz val="9"/>
        <color rgb="FF595959"/>
        <rFont val="Arial"/>
        <family val="0"/>
        <charset val="1"/>
      </rPr>
      <t xml:space="preserve">1/3 </t>
    </r>
    <r>
      <rPr>
        <i val="true"/>
        <sz val="9"/>
        <color rgb="FF595959"/>
        <rFont val="WenQuanYi Zen Hei"/>
        <family val="2"/>
      </rPr>
      <t xml:space="preserve">以下</t>
    </r>
  </si>
  <si>
    <r>
      <rPr>
        <sz val="10"/>
        <rFont val="WenQuanYi Zen Hei"/>
        <family val="2"/>
      </rPr>
      <t xml:space="preserve">★ヒータ推奨容量（計算値の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倍）</t>
    </r>
  </si>
  <si>
    <r>
      <rPr>
        <i val="true"/>
        <sz val="9"/>
        <color rgb="FF595959"/>
        <rFont val="WenQuanYi Zen Hei"/>
        <family val="2"/>
      </rPr>
      <t xml:space="preserve">過大にしないこと。オーバーシュートは </t>
    </r>
    <r>
      <rPr>
        <i val="true"/>
        <sz val="9"/>
        <color rgb="FF595959"/>
        <rFont val="Arial"/>
        <family val="0"/>
        <charset val="1"/>
      </rPr>
      <t xml:space="preserve">20 °C </t>
    </r>
    <r>
      <rPr>
        <i val="true"/>
        <sz val="9"/>
        <color rgb="FF595959"/>
        <rFont val="WenQuanYi Zen Hei"/>
        <family val="2"/>
      </rPr>
      <t xml:space="preserve">を超えて </t>
    </r>
    <r>
      <rPr>
        <i val="true"/>
        <sz val="9"/>
        <color rgb="FF595959"/>
        <rFont val="Arial"/>
        <family val="0"/>
        <charset val="1"/>
      </rPr>
      <t xml:space="preserve">RH </t>
    </r>
    <r>
      <rPr>
        <i val="true"/>
        <sz val="9"/>
        <color rgb="FF595959"/>
        <rFont val="WenQuanYi Zen Hei"/>
        <family val="2"/>
      </rPr>
      <t xml:space="preserve">を下げる</t>
    </r>
  </si>
  <si>
    <r>
      <rPr>
        <b val="true"/>
        <sz val="10"/>
        <color rgb="FF1F3864"/>
        <rFont val="Arial"/>
        <family val="0"/>
        <charset val="1"/>
      </rPr>
      <t xml:space="preserve">C. </t>
    </r>
    <r>
      <rPr>
        <b val="true"/>
        <sz val="10"/>
        <color rgb="FF1F3864"/>
        <rFont val="WenQuanYi Zen Hei"/>
        <family val="2"/>
      </rPr>
      <t xml:space="preserve">結露余裕の監視 </t>
    </r>
    <r>
      <rPr>
        <b val="true"/>
        <sz val="10"/>
        <color rgb="FF1F3864"/>
        <rFont val="Arial"/>
        <family val="0"/>
        <charset val="1"/>
      </rPr>
      <t xml:space="preserve">/ Condensation margin at every state point</t>
    </r>
  </si>
  <si>
    <t xml:space="preserve">状態点</t>
  </si>
  <si>
    <r>
      <rPr>
        <b val="true"/>
        <sz val="11"/>
        <color rgb="FFFFFFFF"/>
        <rFont val="WenQuanYi Zen Hei"/>
        <family val="2"/>
      </rPr>
      <t xml:space="preserve">温度 </t>
    </r>
    <r>
      <rPr>
        <b val="true"/>
        <sz val="11"/>
        <color rgb="FFFFFFFF"/>
        <rFont val="Arial"/>
        <family val="0"/>
        <charset val="1"/>
      </rPr>
      <t xml:space="preserve">[°C]</t>
    </r>
  </si>
  <si>
    <r>
      <rPr>
        <b val="true"/>
        <sz val="11"/>
        <color rgb="FFFFFFFF"/>
        <rFont val="WenQuanYi Zen Hei"/>
        <family val="2"/>
      </rPr>
      <t xml:space="preserve">露点 </t>
    </r>
    <r>
      <rPr>
        <b val="true"/>
        <sz val="11"/>
        <color rgb="FFFFFFFF"/>
        <rFont val="Arial"/>
        <family val="0"/>
        <charset val="1"/>
      </rPr>
      <t xml:space="preserve">[°C]</t>
    </r>
  </si>
  <si>
    <r>
      <rPr>
        <b val="true"/>
        <sz val="11"/>
        <color rgb="FFFFFFFF"/>
        <rFont val="WenQuanYi Zen Hei"/>
        <family val="2"/>
      </rPr>
      <t xml:space="preserve">余裕 </t>
    </r>
    <r>
      <rPr>
        <b val="true"/>
        <sz val="11"/>
        <color rgb="FFFFFFFF"/>
        <rFont val="Arial"/>
        <family val="0"/>
        <charset val="1"/>
      </rPr>
      <t xml:space="preserve">ΔT [K]</t>
    </r>
  </si>
  <si>
    <t xml:space="preserve">判定</t>
  </si>
  <si>
    <r>
      <rPr>
        <sz val="10"/>
        <rFont val="Arial"/>
        <family val="0"/>
        <charset val="1"/>
      </rPr>
      <t xml:space="preserve">S1 </t>
    </r>
    <r>
      <rPr>
        <sz val="10"/>
        <rFont val="WenQuanYi Zen Hei"/>
        <family val="2"/>
      </rPr>
      <t xml:space="preserve">飽和器出口</t>
    </r>
  </si>
  <si>
    <r>
      <rPr>
        <sz val="10"/>
        <rFont val="Arial"/>
        <family val="0"/>
        <charset val="1"/>
      </rPr>
      <t xml:space="preserve">S2 </t>
    </r>
    <r>
      <rPr>
        <sz val="10"/>
        <rFont val="WenQuanYi Zen Hei"/>
        <family val="2"/>
      </rPr>
      <t xml:space="preserve">ノズル上流</t>
    </r>
  </si>
  <si>
    <r>
      <rPr>
        <sz val="10"/>
        <rFont val="Arial"/>
        <family val="0"/>
        <charset val="1"/>
      </rPr>
      <t xml:space="preserve">S3 </t>
    </r>
    <r>
      <rPr>
        <sz val="10"/>
        <rFont val="WenQuanYi Zen Hei"/>
        <family val="2"/>
      </rPr>
      <t xml:space="preserve">ノズル下流</t>
    </r>
  </si>
  <si>
    <r>
      <rPr>
        <sz val="10"/>
        <rFont val="Arial"/>
        <family val="0"/>
        <charset val="1"/>
      </rPr>
      <t xml:space="preserve">S4 </t>
    </r>
    <r>
      <rPr>
        <sz val="10"/>
        <rFont val="WenQuanYi Zen Hei"/>
        <family val="2"/>
      </rPr>
      <t xml:space="preserve">出力段</t>
    </r>
  </si>
  <si>
    <r>
      <rPr>
        <i val="true"/>
        <sz val="9"/>
        <color rgb="FF595959"/>
        <rFont val="Arial"/>
        <family val="0"/>
        <charset val="1"/>
      </rPr>
      <t xml:space="preserve">US EPA Method 320 </t>
    </r>
    <r>
      <rPr>
        <i val="true"/>
        <sz val="9"/>
        <color rgb="FF595959"/>
        <rFont val="WenQuanYi Zen Hei"/>
        <family val="2"/>
      </rPr>
      <t xml:space="preserve">は試料配管を露点より最低 </t>
    </r>
    <r>
      <rPr>
        <i val="true"/>
        <sz val="9"/>
        <color rgb="FF595959"/>
        <rFont val="Arial"/>
        <family val="0"/>
        <charset val="1"/>
      </rPr>
      <t xml:space="preserve">5 °C </t>
    </r>
    <r>
      <rPr>
        <i val="true"/>
        <sz val="9"/>
        <color rgb="FF595959"/>
        <rFont val="WenQuanYi Zen Hei"/>
        <family val="2"/>
      </rPr>
      <t xml:space="preserve">高く保つことを要求。業界慣行の </t>
    </r>
    <r>
      <rPr>
        <i val="true"/>
        <sz val="9"/>
        <color rgb="FF595959"/>
        <rFont val="Arial"/>
        <family val="0"/>
        <charset val="1"/>
      </rPr>
      <t xml:space="preserve">20 K </t>
    </r>
    <r>
      <rPr>
        <i val="true"/>
        <sz val="9"/>
        <color rgb="FF595959"/>
        <rFont val="WenQuanYi Zen Hei"/>
        <family val="2"/>
      </rPr>
      <t xml:space="preserve">は出力段では使えない（</t>
    </r>
    <r>
      <rPr>
        <i val="true"/>
        <sz val="9"/>
        <color rgb="FF595959"/>
        <rFont val="Arial"/>
        <family val="0"/>
        <charset val="1"/>
      </rPr>
      <t xml:space="preserve">RH </t>
    </r>
    <r>
      <rPr>
        <i val="true"/>
        <sz val="9"/>
        <color rgb="FF595959"/>
        <rFont val="WenQuanYi Zen Hei"/>
        <family val="2"/>
      </rPr>
      <t xml:space="preserve">仕様が壊れるため）。</t>
    </r>
  </si>
  <si>
    <r>
      <rPr>
        <i val="true"/>
        <sz val="9"/>
        <color rgb="FF595959"/>
        <rFont val="WenQuanYi Zen Hei"/>
        <family val="2"/>
      </rPr>
      <t xml:space="preserve">余裕は『温度の均一性』で買う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分布 </t>
    </r>
    <r>
      <rPr>
        <i val="true"/>
        <sz val="9"/>
        <color rgb="FF595959"/>
        <rFont val="Arial"/>
        <family val="0"/>
        <charset val="1"/>
      </rPr>
      <t xml:space="preserve">RTD </t>
    </r>
    <r>
      <rPr>
        <i val="true"/>
        <sz val="9"/>
        <color rgb="FF595959"/>
        <rFont val="WenQuanYi Zen Hei"/>
        <family val="2"/>
      </rPr>
      <t xml:space="preserve">を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点以上、バルブ本体・継手・センサボスの冷点を無くし、温度プロファイルを単調にすること。</t>
    </r>
  </si>
  <si>
    <r>
      <rPr>
        <i val="true"/>
        <sz val="9"/>
        <color rgb="FF595959"/>
        <rFont val="WenQuanYi Zen Hei"/>
        <family val="2"/>
      </rPr>
      <t xml:space="preserve">濡れ面は </t>
    </r>
    <r>
      <rPr>
        <i val="true"/>
        <sz val="9"/>
        <color rgb="FF595959"/>
        <rFont val="Arial"/>
        <family val="0"/>
        <charset val="1"/>
      </rPr>
      <t xml:space="preserve">PFA/PTFE </t>
    </r>
    <r>
      <rPr>
        <i val="true"/>
        <sz val="9"/>
        <color rgb="FF595959"/>
        <rFont val="WenQuanYi Zen Hei"/>
        <family val="2"/>
      </rPr>
      <t xml:space="preserve">を推奨。ステンレスは </t>
    </r>
    <r>
      <rPr>
        <i val="true"/>
        <sz val="9"/>
        <color rgb="FF595959"/>
        <rFont val="Arial"/>
        <family val="0"/>
        <charset val="1"/>
      </rPr>
      <t xml:space="preserve">RH </t>
    </r>
    <r>
      <rPr>
        <i val="true"/>
        <sz val="9"/>
        <color rgb="FF595959"/>
        <rFont val="WenQuanYi Zen Hei"/>
        <family val="2"/>
      </rPr>
      <t xml:space="preserve">依存の水分吸着で高速応答を鈍らせる（</t>
    </r>
    <r>
      <rPr>
        <i val="true"/>
        <sz val="9"/>
        <color rgb="FF595959"/>
        <rFont val="Arial"/>
        <family val="0"/>
        <charset val="1"/>
      </rPr>
      <t xml:space="preserve">AMT 12, 3453, 2019</t>
    </r>
    <r>
      <rPr>
        <i val="true"/>
        <sz val="9"/>
        <color rgb="FF595959"/>
        <rFont val="WenQuanYi Zen Hei"/>
        <family val="2"/>
      </rPr>
      <t xml:space="preserve">）。</t>
    </r>
  </si>
  <si>
    <r>
      <rPr>
        <i val="true"/>
        <sz val="9"/>
        <color rgb="FF595959"/>
        <rFont val="WenQuanYi Zen Hei"/>
        <family val="2"/>
      </rPr>
      <t xml:space="preserve">湿潤</t>
    </r>
    <r>
      <rPr>
        <i val="true"/>
        <sz val="9"/>
        <color rgb="FF595959"/>
        <rFont val="Arial"/>
        <family val="0"/>
        <charset val="1"/>
      </rPr>
      <t xml:space="preserve">CO2</t>
    </r>
    <r>
      <rPr>
        <i val="true"/>
        <sz val="9"/>
        <color rgb="FF595959"/>
        <rFont val="WenQuanYi Zen Hei"/>
        <family val="2"/>
      </rPr>
      <t xml:space="preserve">の凝縮水は </t>
    </r>
    <r>
      <rPr>
        <i val="true"/>
        <sz val="9"/>
        <color rgb="FF595959"/>
        <rFont val="Arial"/>
        <family val="0"/>
        <charset val="1"/>
      </rPr>
      <t xml:space="preserve">pH 3.6–3.9</t>
    </r>
    <r>
      <rPr>
        <i val="true"/>
        <sz val="9"/>
        <color rgb="FF595959"/>
        <rFont val="WenQuanYi Zen Hei"/>
        <family val="2"/>
      </rPr>
      <t xml:space="preserve">（炭酸）。炭素鋼は不可（</t>
    </r>
    <r>
      <rPr>
        <i val="true"/>
        <sz val="9"/>
        <color rgb="FF595959"/>
        <rFont val="Arial"/>
        <family val="0"/>
        <charset val="1"/>
      </rPr>
      <t xml:space="preserve">de Waard–Milliams</t>
    </r>
    <r>
      <rPr>
        <i val="true"/>
        <sz val="9"/>
        <color rgb="FF595959"/>
        <rFont val="WenQuanYi Zen Hei"/>
        <family val="2"/>
      </rPr>
      <t xml:space="preserve">）。</t>
    </r>
    <r>
      <rPr>
        <i val="true"/>
        <sz val="9"/>
        <color rgb="FF595959"/>
        <rFont val="Arial"/>
        <family val="0"/>
        <charset val="1"/>
      </rPr>
      <t xml:space="preserve">316L</t>
    </r>
    <r>
      <rPr>
        <i val="true"/>
        <sz val="9"/>
        <color rgb="FF595959"/>
        <rFont val="WenQuanYi Zen Hei"/>
        <family val="2"/>
      </rPr>
      <t xml:space="preserve">・</t>
    </r>
    <r>
      <rPr>
        <i val="true"/>
        <sz val="9"/>
        <color rgb="FF595959"/>
        <rFont val="Arial"/>
        <family val="0"/>
        <charset val="1"/>
      </rPr>
      <t xml:space="preserve">PFA</t>
    </r>
    <r>
      <rPr>
        <i val="true"/>
        <sz val="9"/>
        <color rgb="FF595959"/>
        <rFont val="WenQuanYi Zen Hei"/>
        <family val="2"/>
      </rPr>
      <t xml:space="preserve">・</t>
    </r>
    <r>
      <rPr>
        <i val="true"/>
        <sz val="9"/>
        <color rgb="FF595959"/>
        <rFont val="Arial"/>
        <family val="0"/>
        <charset val="1"/>
      </rPr>
      <t xml:space="preserve">PTFE</t>
    </r>
    <r>
      <rPr>
        <i val="true"/>
        <sz val="9"/>
        <color rgb="FF595959"/>
        <rFont val="WenQuanYi Zen Hei"/>
        <family val="2"/>
      </rPr>
      <t xml:space="preserve">・</t>
    </r>
    <r>
      <rPr>
        <i val="true"/>
        <sz val="9"/>
        <color rgb="FF595959"/>
        <rFont val="Arial"/>
        <family val="0"/>
        <charset val="1"/>
      </rPr>
      <t xml:space="preserve">PEEK </t>
    </r>
    <r>
      <rPr>
        <i val="true"/>
        <sz val="9"/>
        <color rgb="FF595959"/>
        <rFont val="WenQuanYi Zen Hei"/>
        <family val="2"/>
      </rPr>
      <t xml:space="preserve">を使用し、給水は必ず純水（塩化物による孔食防止）。</t>
    </r>
  </si>
  <si>
    <r>
      <rPr>
        <i val="true"/>
        <sz val="9"/>
        <color rgb="FF595959"/>
        <rFont val="WenQuanYi Zen Hei"/>
        <family val="2"/>
      </rPr>
      <t xml:space="preserve">ドライアイス生成の心配は不要</t>
    </r>
    <r>
      <rPr>
        <i val="true"/>
        <sz val="9"/>
        <color rgb="FF595959"/>
        <rFont val="Arial"/>
        <family val="0"/>
        <charset val="1"/>
      </rPr>
      <t xml:space="preserve">: CO2 </t>
    </r>
    <r>
      <rPr>
        <i val="true"/>
        <sz val="9"/>
        <color rgb="FF595959"/>
        <rFont val="WenQuanYi Zen Hei"/>
        <family val="2"/>
      </rPr>
      <t xml:space="preserve">三重点 </t>
    </r>
    <r>
      <rPr>
        <i val="true"/>
        <sz val="9"/>
        <color rgb="FF595959"/>
        <rFont val="Arial"/>
        <family val="0"/>
        <charset val="1"/>
      </rPr>
      <t xml:space="preserve">216.592 K / 517.95 kPa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1 atm </t>
    </r>
    <r>
      <rPr>
        <i val="true"/>
        <sz val="9"/>
        <color rgb="FF595959"/>
        <rFont val="WenQuanYi Zen Hei"/>
        <family val="2"/>
      </rPr>
      <t xml:space="preserve">昇華点 </t>
    </r>
    <r>
      <rPr>
        <i val="true"/>
        <sz val="9"/>
        <color rgb="FF595959"/>
        <rFont val="Arial"/>
        <family val="0"/>
        <charset val="1"/>
      </rPr>
      <t xml:space="preserve">194.7 K</t>
    </r>
    <r>
      <rPr>
        <i val="true"/>
        <sz val="9"/>
        <color rgb="FF595959"/>
        <rFont val="WenQuanYi Zen Hei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JT </t>
    </r>
    <r>
      <rPr>
        <i val="true"/>
        <sz val="9"/>
        <color rgb="FF595959"/>
        <rFont val="WenQuanYi Zen Hei"/>
        <family val="2"/>
      </rPr>
      <t xml:space="preserve">だけで到達するには約 </t>
    </r>
    <r>
      <rPr>
        <i val="true"/>
        <sz val="9"/>
        <color rgb="FF595959"/>
        <rFont val="Arial"/>
        <family val="0"/>
        <charset val="1"/>
      </rPr>
      <t xml:space="preserve">89 bar </t>
    </r>
    <r>
      <rPr>
        <i val="true"/>
        <sz val="9"/>
        <color rgb="FF595959"/>
        <rFont val="WenQuanYi Zen Hei"/>
        <family val="2"/>
      </rPr>
      <t xml:space="preserve">の差圧が必要で、本系の </t>
    </r>
    <r>
      <rPr>
        <i val="true"/>
        <sz val="9"/>
        <color rgb="FF595959"/>
        <rFont val="Arial"/>
        <family val="0"/>
        <charset val="1"/>
      </rPr>
      <t xml:space="preserve">2.8 bar </t>
    </r>
    <r>
      <rPr>
        <i val="true"/>
        <sz val="9"/>
        <color rgb="FF595959"/>
        <rFont val="WenQuanYi Zen Hei"/>
        <family val="2"/>
      </rPr>
      <t xml:space="preserve">とは</t>
    </r>
    <r>
      <rPr>
        <i val="true"/>
        <sz val="9"/>
        <color rgb="FF595959"/>
        <rFont val="Arial"/>
        <family val="0"/>
        <charset val="1"/>
      </rPr>
      <t xml:space="preserve">32</t>
    </r>
    <r>
      <rPr>
        <i val="true"/>
        <sz val="9"/>
        <color rgb="FF595959"/>
        <rFont val="WenQuanYi Zen Hei"/>
        <family val="2"/>
      </rPr>
      <t xml:space="preserve">倍の開きがある。</t>
    </r>
  </si>
  <si>
    <r>
      <rPr>
        <b val="true"/>
        <sz val="14"/>
        <color rgb="FF1F3864"/>
        <rFont val="WenQuanYi Zen Hei"/>
        <family val="2"/>
      </rPr>
      <t xml:space="preserve">配管 </t>
    </r>
    <r>
      <rPr>
        <b val="true"/>
        <sz val="14"/>
        <color rgb="FF1F3864"/>
        <rFont val="Arial"/>
        <family val="0"/>
        <charset val="1"/>
      </rPr>
      <t xml:space="preserve">/ Piping between the switching valve and the delivery plane</t>
    </r>
  </si>
  <si>
    <r>
      <rPr>
        <sz val="10"/>
        <rFont val="WenQuanYi Zen Hei"/>
        <family val="2"/>
      </rPr>
      <t xml:space="preserve">内径 </t>
    </r>
    <r>
      <rPr>
        <sz val="10"/>
        <rFont val="Arial"/>
        <family val="0"/>
        <charset val="1"/>
      </rPr>
      <t xml:space="preserve">d_i</t>
    </r>
  </si>
  <si>
    <r>
      <rPr>
        <sz val="10"/>
        <rFont val="WenQuanYi Zen Hei"/>
        <family val="2"/>
      </rPr>
      <t xml:space="preserve">断面積 </t>
    </r>
    <r>
      <rPr>
        <sz val="10"/>
        <rFont val="Arial"/>
        <family val="0"/>
        <charset val="1"/>
      </rPr>
      <t xml:space="preserve">A</t>
    </r>
  </si>
  <si>
    <t xml:space="preserve">m²</t>
  </si>
  <si>
    <r>
      <rPr>
        <sz val="10"/>
        <rFont val="WenQuanYi Zen Hei"/>
        <family val="2"/>
      </rPr>
      <t xml:space="preserve">実体積流量（</t>
    </r>
    <r>
      <rPr>
        <sz val="10"/>
        <rFont val="Arial"/>
        <family val="0"/>
        <charset val="1"/>
      </rPr>
      <t xml:space="preserve">Q_H</t>
    </r>
    <r>
      <rPr>
        <sz val="10"/>
        <rFont val="WenQuanYi Zen Hei"/>
        <family val="2"/>
      </rPr>
      <t xml:space="preserve">）</t>
    </r>
  </si>
  <si>
    <t xml:space="preserve">m³/s</t>
  </si>
  <si>
    <r>
      <rPr>
        <sz val="10"/>
        <rFont val="WenQuanYi Zen Hei"/>
        <family val="2"/>
      </rPr>
      <t xml:space="preserve">流速 </t>
    </r>
    <r>
      <rPr>
        <sz val="10"/>
        <rFont val="Arial"/>
        <family val="0"/>
        <charset val="1"/>
      </rPr>
      <t xml:space="preserve">v</t>
    </r>
  </si>
  <si>
    <r>
      <rPr>
        <i val="true"/>
        <sz val="9"/>
        <color rgb="FF595959"/>
        <rFont val="Arial"/>
        <family val="0"/>
        <charset val="1"/>
      </rPr>
      <t xml:space="preserve">20 m/s </t>
    </r>
    <r>
      <rPr>
        <i val="true"/>
        <sz val="9"/>
        <color rgb="FF595959"/>
        <rFont val="WenQuanYi Zen Hei"/>
        <family val="2"/>
      </rPr>
      <t xml:space="preserve">以下を目安（圧損と騒音）</t>
    </r>
  </si>
  <si>
    <r>
      <rPr>
        <sz val="10"/>
        <rFont val="WenQuanYi Zen Hei"/>
        <family val="2"/>
      </rPr>
      <t xml:space="preserve">粘度 </t>
    </r>
    <r>
      <rPr>
        <sz val="10"/>
        <rFont val="Arial"/>
        <family val="0"/>
        <charset val="1"/>
      </rPr>
      <t xml:space="preserve">μ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希薄極限）</t>
    </r>
  </si>
  <si>
    <r>
      <rPr>
        <i val="true"/>
        <sz val="9"/>
        <color rgb="FF595959"/>
        <rFont val="Arial"/>
        <family val="0"/>
        <charset val="1"/>
      </rPr>
      <t xml:space="preserve">Fenghour et al. (1998)</t>
    </r>
    <r>
      <rPr>
        <i val="true"/>
        <sz val="9"/>
        <color rgb="FF595959"/>
        <rFont val="WenQuanYi Zen Hei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Laesecke &amp; Muzny (2017) </t>
    </r>
    <r>
      <rPr>
        <i val="true"/>
        <sz val="9"/>
        <color rgb="FF595959"/>
        <rFont val="WenQuanYi Zen Hei"/>
        <family val="2"/>
      </rPr>
      <t xml:space="preserve">と </t>
    </r>
    <r>
      <rPr>
        <i val="true"/>
        <sz val="9"/>
        <color rgb="FF595959"/>
        <rFont val="Arial"/>
        <family val="0"/>
        <charset val="1"/>
      </rPr>
      <t xml:space="preserve">0.04 % </t>
    </r>
    <r>
      <rPr>
        <i val="true"/>
        <sz val="9"/>
        <color rgb="FF595959"/>
        <rFont val="WenQuanYi Zen Hei"/>
        <family val="2"/>
      </rPr>
      <t xml:space="preserve">一致</t>
    </r>
  </si>
  <si>
    <r>
      <rPr>
        <sz val="10"/>
        <rFont val="Arial"/>
        <family val="0"/>
        <charset val="1"/>
      </rPr>
      <t xml:space="preserve">Reynolds </t>
    </r>
    <r>
      <rPr>
        <sz val="10"/>
        <rFont val="WenQuanYi Zen Hei"/>
        <family val="2"/>
      </rPr>
      <t xml:space="preserve">数 </t>
    </r>
    <r>
      <rPr>
        <sz val="10"/>
        <rFont val="Arial"/>
        <family val="0"/>
        <charset val="1"/>
      </rPr>
      <t xml:space="preserve">Re</t>
    </r>
  </si>
  <si>
    <r>
      <rPr>
        <sz val="10"/>
        <rFont val="Arial"/>
        <family val="0"/>
        <charset val="1"/>
      </rPr>
      <t xml:space="preserve">Darcy </t>
    </r>
    <r>
      <rPr>
        <sz val="10"/>
        <rFont val="WenQuanYi Zen Hei"/>
        <family val="2"/>
      </rPr>
      <t xml:space="preserve">摩擦係数 </t>
    </r>
    <r>
      <rPr>
        <sz val="10"/>
        <rFont val="Arial"/>
        <family val="0"/>
        <charset val="1"/>
      </rPr>
      <t xml:space="preserve">f</t>
    </r>
  </si>
  <si>
    <r>
      <rPr>
        <i val="true"/>
        <sz val="9"/>
        <color rgb="FF595959"/>
        <rFont val="WenQuanYi Zen Hei"/>
        <family val="2"/>
      </rPr>
      <t xml:space="preserve">層流 </t>
    </r>
    <r>
      <rPr>
        <i val="true"/>
        <sz val="9"/>
        <color rgb="FF595959"/>
        <rFont val="Arial"/>
        <family val="0"/>
        <charset val="1"/>
      </rPr>
      <t xml:space="preserve">64/Re</t>
    </r>
    <r>
      <rPr>
        <i val="true"/>
        <sz val="9"/>
        <color rgb="FF595959"/>
        <rFont val="WenQuanYi Zen Hei"/>
        <family val="2"/>
      </rPr>
      <t xml:space="preserve">、乱流 </t>
    </r>
    <r>
      <rPr>
        <i val="true"/>
        <sz val="9"/>
        <color rgb="FF595959"/>
        <rFont val="Arial"/>
        <family val="0"/>
        <charset val="1"/>
      </rPr>
      <t xml:space="preserve">Blasius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4e3&lt;Re&lt;1e5</t>
    </r>
    <r>
      <rPr>
        <i val="true"/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</si>
  <si>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★圧力損失 </t>
    </r>
    <r>
      <rPr>
        <sz val="10"/>
        <rFont val="Arial"/>
        <family val="0"/>
        <charset val="1"/>
      </rPr>
      <t xml:space="preserve">Δp</t>
    </r>
  </si>
  <si>
    <r>
      <rPr>
        <i val="true"/>
        <sz val="9"/>
        <color rgb="FF595959"/>
        <rFont val="Arial"/>
        <family val="0"/>
        <charset val="1"/>
      </rPr>
      <t xml:space="preserve">20 kPa </t>
    </r>
    <r>
      <rPr>
        <i val="true"/>
        <sz val="9"/>
        <color rgb="FF595959"/>
        <rFont val="WenQuanYi Zen Hei"/>
        <family val="2"/>
      </rPr>
      <t xml:space="preserve">の設定値に対する比率を確認すること</t>
    </r>
  </si>
  <si>
    <t xml:space="preserve">  設定ゲージ圧に対する比</t>
  </si>
  <si>
    <r>
      <rPr>
        <sz val="10"/>
        <rFont val="WenQuanYi Zen Hei"/>
        <family val="2"/>
      </rPr>
      <t xml:space="preserve">ガス粒子の輸送遅れ </t>
    </r>
    <r>
      <rPr>
        <sz val="10"/>
        <rFont val="Arial"/>
        <family val="0"/>
        <charset val="1"/>
      </rPr>
      <t xml:space="preserve">L/v</t>
    </r>
  </si>
  <si>
    <t xml:space="preserve">組成が一様なら流量ステップには効かない</t>
  </si>
  <si>
    <r>
      <rPr>
        <sz val="10"/>
        <rFont val="WenQuanYi Zen Hei"/>
        <family val="2"/>
      </rPr>
      <t xml:space="preserve">音響伝播遅れ </t>
    </r>
    <r>
      <rPr>
        <sz val="10"/>
        <rFont val="Arial"/>
        <family val="0"/>
        <charset val="1"/>
      </rPr>
      <t xml:space="preserve">L/c</t>
    </r>
  </si>
  <si>
    <t xml:space="preserve">★流量ステップはこの速さで伝わる（ガス粒子の速さではない）</t>
  </si>
  <si>
    <t xml:space="preserve">弁応答時間との比較</t>
  </si>
  <si>
    <r>
      <rPr>
        <i val="true"/>
        <sz val="9"/>
        <color rgb="FF595959"/>
        <rFont val="WenQuanYi Zen Hei"/>
        <family val="2"/>
      </rPr>
      <t xml:space="preserve">推奨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切替弁・ノズル・出力プレナムを </t>
    </r>
    <r>
      <rPr>
        <i val="true"/>
        <sz val="9"/>
        <color rgb="FF595959"/>
        <rFont val="Arial"/>
        <family val="0"/>
        <charset val="1"/>
      </rPr>
      <t xml:space="preserve">30 mm </t>
    </r>
    <r>
      <rPr>
        <i val="true"/>
        <sz val="9"/>
        <color rgb="FF595959"/>
        <rFont val="WenQuanYi Zen Hei"/>
        <family val="2"/>
      </rPr>
      <t xml:space="preserve">以内に一体化する。配管が長いほどエッジが鈍り、定在波が立つ。</t>
    </r>
  </si>
  <si>
    <r>
      <rPr>
        <b val="true"/>
        <sz val="14"/>
        <color rgb="FF1F3864"/>
        <rFont val="WenQuanYi Zen Hei"/>
        <family val="2"/>
      </rPr>
      <t xml:space="preserve">安全・換気 </t>
    </r>
    <r>
      <rPr>
        <b val="true"/>
        <sz val="14"/>
        <color rgb="FF1F3864"/>
        <rFont val="Arial"/>
        <family val="0"/>
        <charset val="1"/>
      </rPr>
      <t xml:space="preserve">/ Safety and ventilation</t>
    </r>
  </si>
  <si>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放出モル流量（</t>
    </r>
    <r>
      <rPr>
        <sz val="10"/>
        <rFont val="Arial"/>
        <family val="0"/>
        <charset val="1"/>
      </rPr>
      <t xml:space="preserve">Q_H </t>
    </r>
    <r>
      <rPr>
        <sz val="10"/>
        <rFont val="WenQuanYi Zen Hei"/>
        <family val="2"/>
      </rPr>
      <t xml:space="preserve">連続）</t>
    </r>
  </si>
  <si>
    <t xml:space="preserve">室温・大気圧での空気モル体積</t>
  </si>
  <si>
    <r>
      <rPr>
        <sz val="10"/>
        <rFont val="WenQuanYi Zen Hei"/>
        <family val="2"/>
      </rPr>
      <t xml:space="preserve">★必要換気量（</t>
    </r>
    <r>
      <rPr>
        <sz val="10"/>
        <rFont val="Arial"/>
        <family val="0"/>
        <charset val="1"/>
      </rPr>
      <t xml:space="preserve">k=1</t>
    </r>
    <r>
      <rPr>
        <sz val="10"/>
        <rFont val="WenQuanYi Zen Hei"/>
        <family val="2"/>
      </rPr>
      <t xml:space="preserve">）</t>
    </r>
  </si>
  <si>
    <t xml:space="preserve">m³/h</t>
  </si>
  <si>
    <r>
      <rPr>
        <i val="true"/>
        <sz val="9"/>
        <color rgb="FF595959"/>
        <rFont val="WenQuanYi Zen Hei"/>
        <family val="2"/>
      </rPr>
      <t xml:space="preserve">定常・完全混合。分子基準で統一（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の標準状態体積と室内空気体積を混ぜないこと）</t>
    </r>
  </si>
  <si>
    <r>
      <rPr>
        <sz val="10"/>
        <rFont val="WenQuanYi Zen Hei"/>
        <family val="2"/>
      </rPr>
      <t xml:space="preserve">★必要換気量（混合係数 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込み）</t>
    </r>
  </si>
  <si>
    <r>
      <rPr>
        <i val="true"/>
        <sz val="9"/>
        <color rgb="FF595959"/>
        <rFont val="Arial"/>
        <family val="0"/>
        <charset val="1"/>
      </rPr>
      <t xml:space="preserve">EIGA Doc 44: CO2 </t>
    </r>
    <r>
      <rPr>
        <i val="true"/>
        <sz val="9"/>
        <color rgb="FF595959"/>
        <rFont val="WenQuanYi Zen Hei"/>
        <family val="2"/>
      </rPr>
      <t xml:space="preserve">は空気より重く低所に滞留するため </t>
    </r>
    <r>
      <rPr>
        <i val="true"/>
        <sz val="9"/>
        <color rgb="FF595959"/>
        <rFont val="Arial"/>
        <family val="0"/>
        <charset val="1"/>
      </rPr>
      <t xml:space="preserve">k ≥ 3</t>
    </r>
    <r>
      <rPr>
        <i val="true"/>
        <sz val="9"/>
        <color rgb="FF595959"/>
        <rFont val="WenQuanYi Zen Hei"/>
        <family val="2"/>
      </rPr>
      <t xml:space="preserve">。排気は最下部から、給気は上部から</t>
    </r>
  </si>
  <si>
    <t xml:space="preserve">  換気回数</t>
  </si>
  <si>
    <r>
      <rPr>
        <sz val="10"/>
        <rFont val="WenQuanYi Zen Hei"/>
        <family val="2"/>
      </rPr>
      <t xml:space="preserve">回</t>
    </r>
    <r>
      <rPr>
        <sz val="10"/>
        <rFont val="Arial"/>
        <family val="0"/>
        <charset val="1"/>
      </rPr>
      <t xml:space="preserve">/h</t>
    </r>
  </si>
  <si>
    <t xml:space="preserve">★換気停止時に管理濃度に達する時間</t>
  </si>
  <si>
    <t xml:space="preserve">min</t>
  </si>
  <si>
    <r>
      <rPr>
        <i val="true"/>
        <sz val="9"/>
        <color rgb="FF595959"/>
        <rFont val="WenQuanYi Zen Hei"/>
        <family val="2"/>
      </rPr>
      <t xml:space="preserve">★安全論拠として最も重要な数字。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モニタと給気インターロックを必須とする根拠</t>
    </r>
  </si>
  <si>
    <r>
      <rPr>
        <sz val="10"/>
        <rFont val="Arial"/>
        <family val="0"/>
        <charset val="1"/>
      </rPr>
      <t xml:space="preserve">  STEL 30000 ppm </t>
    </r>
    <r>
      <rPr>
        <sz val="10"/>
        <rFont val="WenQuanYi Zen Hei"/>
        <family val="2"/>
      </rPr>
      <t xml:space="preserve">に達する時間</t>
    </r>
  </si>
  <si>
    <r>
      <rPr>
        <sz val="10"/>
        <rFont val="Arial"/>
        <family val="0"/>
        <charset val="1"/>
      </rPr>
      <t xml:space="preserve">  IDLH 40000 ppm </t>
    </r>
    <r>
      <rPr>
        <sz val="10"/>
        <rFont val="WenQuanYi Zen Hei"/>
        <family val="2"/>
      </rPr>
      <t xml:space="preserve">に達する時間</t>
    </r>
  </si>
  <si>
    <r>
      <rPr>
        <i val="true"/>
        <sz val="9"/>
        <color rgb="FF595959"/>
        <rFont val="WenQuanYi Zen Hei"/>
        <family val="2"/>
      </rPr>
      <t xml:space="preserve">曝露限界</t>
    </r>
    <r>
      <rPr>
        <i val="true"/>
        <sz val="9"/>
        <color rgb="FF595959"/>
        <rFont val="Arial"/>
        <family val="0"/>
        <charset val="1"/>
      </rPr>
      <t xml:space="preserve">: ACGIH TLV-TWA 5000 ppm / STEL 30000 ppm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OSHA PEL 5000 ppm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29 CFR 1910.1000 Table Z-1</t>
    </r>
    <r>
      <rPr>
        <i val="true"/>
        <sz val="9"/>
        <color rgb="FF595959"/>
        <rFont val="WenQuanYi Zen Hei"/>
        <family val="2"/>
      </rPr>
      <t xml:space="preserve">）、</t>
    </r>
    <r>
      <rPr>
        <i val="true"/>
        <sz val="9"/>
        <color rgb="FF595959"/>
        <rFont val="Arial"/>
        <family val="0"/>
        <charset val="1"/>
      </rPr>
      <t xml:space="preserve">NIOSH IDLH 40000 ppm</t>
    </r>
    <r>
      <rPr>
        <i val="true"/>
        <sz val="9"/>
        <color rgb="FF595959"/>
        <rFont val="WenQuanYi Zen Hei"/>
        <family val="2"/>
      </rPr>
      <t xml:space="preserve">。</t>
    </r>
  </si>
  <si>
    <r>
      <rPr>
        <i val="true"/>
        <sz val="9"/>
        <color rgb="FF595959"/>
        <rFont val="Arial"/>
        <family val="0"/>
        <charset val="1"/>
      </rPr>
      <t xml:space="preserve">CGA G-6.14 (2023): 5000 ppm </t>
    </r>
    <r>
      <rPr>
        <i val="true"/>
        <sz val="9"/>
        <color rgb="FF595959"/>
        <rFont val="WenQuanYi Zen Hei"/>
        <family val="2"/>
      </rPr>
      <t xml:space="preserve">で常時有人場所に可聴＋可視の監視警報、</t>
    </r>
    <r>
      <rPr>
        <i val="true"/>
        <sz val="9"/>
        <color rgb="FF595959"/>
        <rFont val="Arial"/>
        <family val="0"/>
        <charset val="1"/>
      </rPr>
      <t xml:space="preserve">30000 ppm </t>
    </r>
    <r>
      <rPr>
        <i val="true"/>
        <sz val="9"/>
        <color rgb="FF595959"/>
        <rFont val="WenQuanYi Zen Hei"/>
        <family val="2"/>
      </rPr>
      <t xml:space="preserve">で室内に可聴＋可視警報。</t>
    </r>
  </si>
  <si>
    <r>
      <rPr>
        <i val="true"/>
        <sz val="9"/>
        <color rgb="FF595959"/>
        <rFont val="Arial"/>
        <family val="0"/>
        <charset val="1"/>
      </rPr>
      <t xml:space="preserve">EIGA Doc 44: </t>
    </r>
    <r>
      <rPr>
        <i val="true"/>
        <sz val="9"/>
        <color rgb="FF595959"/>
        <rFont val="WenQuanYi Zen Hei"/>
        <family val="2"/>
      </rPr>
      <t xml:space="preserve">酸素濃度計では代用できない（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は酸素が十分でも危険）。</t>
    </r>
    <r>
      <rPr>
        <i val="true"/>
        <sz val="9"/>
        <color rgb="FF595959"/>
        <rFont val="Arial"/>
        <family val="0"/>
        <charset val="1"/>
      </rPr>
      <t xml:space="preserve">NDIR </t>
    </r>
    <r>
      <rPr>
        <i val="true"/>
        <sz val="9"/>
        <color rgb="FF595959"/>
        <rFont val="WenQuanYi Zen Hei"/>
        <family val="2"/>
      </rPr>
      <t xml:space="preserve">の 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直読モニタを低所に設置すること。</t>
    </r>
  </si>
  <si>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は空気の約</t>
    </r>
    <r>
      <rPr>
        <i val="true"/>
        <sz val="9"/>
        <color rgb="FF595959"/>
        <rFont val="Arial"/>
        <family val="0"/>
        <charset val="1"/>
      </rPr>
      <t xml:space="preserve">1.5</t>
    </r>
    <r>
      <rPr>
        <i val="true"/>
        <sz val="9"/>
        <color rgb="FF595959"/>
        <rFont val="WenQuanYi Zen Hei"/>
        <family val="2"/>
      </rPr>
      <t xml:space="preserve">倍重い。天井排気は設計ミス。排気は最下部から、給気を上部から入れる。</t>
    </r>
  </si>
  <si>
    <r>
      <rPr>
        <i val="true"/>
        <sz val="9"/>
        <color rgb="FF595959"/>
        <rFont val="WenQuanYi Zen Hei"/>
        <family val="2"/>
      </rPr>
      <t xml:space="preserve">供給電磁弁を換気プルーフと </t>
    </r>
    <r>
      <rPr>
        <i val="true"/>
        <sz val="9"/>
        <color rgb="FF595959"/>
        <rFont val="Arial"/>
        <family val="0"/>
        <charset val="1"/>
      </rPr>
      <t xml:space="preserve">CO2 </t>
    </r>
    <r>
      <rPr>
        <i val="true"/>
        <sz val="9"/>
        <color rgb="FF595959"/>
        <rFont val="WenQuanYi Zen Hei"/>
        <family val="2"/>
      </rPr>
      <t xml:space="preserve">警報にインターロックすること。</t>
    </r>
  </si>
  <si>
    <r>
      <rPr>
        <b val="true"/>
        <sz val="14"/>
        <color rgb="FF1F3864"/>
        <rFont val="WenQuanYi Zen Hei"/>
        <family val="2"/>
      </rPr>
      <t xml:space="preserve">感度解析 </t>
    </r>
    <r>
      <rPr>
        <b val="true"/>
        <sz val="14"/>
        <color rgb="FF1F3864"/>
        <rFont val="Arial"/>
        <family val="0"/>
        <charset val="1"/>
      </rPr>
      <t xml:space="preserve">/ Sensitivity analysis</t>
    </r>
  </si>
  <si>
    <r>
      <rPr>
        <i val="true"/>
        <sz val="9"/>
        <color rgb="FF595959"/>
        <rFont val="WenQuanYi Zen Hei"/>
        <family val="2"/>
      </rPr>
      <t xml:space="preserve">保存量 </t>
    </r>
    <r>
      <rPr>
        <i val="true"/>
        <sz val="9"/>
        <color rgb="FF595959"/>
        <rFont val="Arial"/>
        <family val="0"/>
        <charset val="1"/>
      </rPr>
      <t xml:space="preserve">x_v </t>
    </r>
    <r>
      <rPr>
        <i val="true"/>
        <sz val="9"/>
        <color rgb="FF595959"/>
        <rFont val="WenQuanYi Zen Hei"/>
        <family val="2"/>
      </rPr>
      <t xml:space="preserve">を固定し、</t>
    </r>
    <r>
      <rPr>
        <i val="true"/>
        <sz val="9"/>
        <color rgb="FF595959"/>
        <rFont val="Arial"/>
        <family val="0"/>
        <charset val="1"/>
      </rPr>
      <t xml:space="preserve">RH = x_v·p /(f(T,p)·p_sat(T)) </t>
    </r>
    <r>
      <rPr>
        <i val="true"/>
        <sz val="9"/>
        <color rgb="FF595959"/>
        <rFont val="WenQuanYi Zen Hei"/>
        <family val="2"/>
      </rPr>
      <t xml:space="preserve">を評価。</t>
    </r>
    <r>
      <rPr>
        <i val="true"/>
        <sz val="9"/>
        <color rgb="FF595959"/>
        <rFont val="Arial"/>
        <family val="0"/>
        <charset val="1"/>
      </rPr>
      <t xml:space="preserve">f </t>
    </r>
    <r>
      <rPr>
        <i val="true"/>
        <sz val="9"/>
        <color rgb="FF595959"/>
        <rFont val="WenQuanYi Zen Hei"/>
        <family val="2"/>
      </rPr>
      <t xml:space="preserve">は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回反復（誤差 </t>
    </r>
    <r>
      <rPr>
        <i val="true"/>
        <sz val="9"/>
        <color rgb="FF595959"/>
        <rFont val="Arial"/>
        <family val="0"/>
        <charset val="1"/>
      </rPr>
      <t xml:space="preserve">3e−5</t>
    </r>
    <r>
      <rPr>
        <i val="true"/>
        <sz val="9"/>
        <color rgb="FF595959"/>
        <rFont val="WenQuanYi Zen Hei"/>
        <family val="2"/>
      </rPr>
      <t xml:space="preserve">）で評価。</t>
    </r>
  </si>
  <si>
    <r>
      <rPr>
        <i val="true"/>
        <sz val="9"/>
        <color rgb="FF595959"/>
        <rFont val="Arial"/>
        <family val="0"/>
        <charset val="1"/>
      </rPr>
      <t xml:space="preserve">p_sat(T_out) — </t>
    </r>
    <r>
      <rPr>
        <i val="true"/>
        <sz val="9"/>
        <color rgb="FF595959"/>
        <rFont val="WenQuanYi Zen Hei"/>
        <family val="2"/>
      </rPr>
      <t xml:space="preserve">下の表で参照する共通値</t>
    </r>
  </si>
  <si>
    <r>
      <rPr>
        <b val="true"/>
        <sz val="10"/>
        <color rgb="FF1F3864"/>
        <rFont val="Arial"/>
        <family val="0"/>
        <charset val="1"/>
      </rPr>
      <t xml:space="preserve">A. </t>
    </r>
    <r>
      <rPr>
        <b val="true"/>
        <sz val="10"/>
        <color rgb="FF1F3864"/>
        <rFont val="WenQuanYi Zen Hei"/>
        <family val="2"/>
      </rPr>
      <t xml:space="preserve">出力段温度に対する感度 </t>
    </r>
    <r>
      <rPr>
        <b val="true"/>
        <sz val="10"/>
        <color rgb="FF1F3864"/>
        <rFont val="Arial"/>
        <family val="0"/>
        <charset val="1"/>
      </rPr>
      <t xml:space="preserve">/ Sensitivity to delivery temperature</t>
    </r>
  </si>
  <si>
    <t xml:space="preserve">T_out [°C]</t>
  </si>
  <si>
    <t xml:space="preserve">k_H [Pa]</t>
  </si>
  <si>
    <t xml:space="preserve">f [-]</t>
  </si>
  <si>
    <t xml:space="preserve">RH [%]</t>
  </si>
  <si>
    <r>
      <rPr>
        <b val="true"/>
        <sz val="11"/>
        <color rgb="FFFFFFFF"/>
        <rFont val="WenQuanYi Zen Hei"/>
        <family val="2"/>
      </rPr>
      <t xml:space="preserve">目標からの差 </t>
    </r>
    <r>
      <rPr>
        <b val="true"/>
        <sz val="11"/>
        <color rgb="FFFFFFFF"/>
        <rFont val="Arial"/>
        <family val="0"/>
        <charset val="1"/>
      </rPr>
      <t xml:space="preserve">[%RH]</t>
    </r>
  </si>
  <si>
    <r>
      <rPr>
        <b val="true"/>
        <sz val="11"/>
        <color rgb="FFFFFFFF"/>
        <rFont val="WenQuanYi Zen Hei"/>
        <family val="2"/>
      </rPr>
      <t xml:space="preserve">露点余裕 </t>
    </r>
    <r>
      <rPr>
        <b val="true"/>
        <sz val="11"/>
        <color rgb="FFFFFFFF"/>
        <rFont val="Arial"/>
        <family val="0"/>
        <charset val="1"/>
      </rPr>
      <t xml:space="preserve">[K]</t>
    </r>
  </si>
  <si>
    <r>
      <rPr>
        <b val="true"/>
        <sz val="10"/>
        <color rgb="FF1F3864"/>
        <rFont val="WenQuanYi Zen Hei"/>
        <family val="2"/>
      </rPr>
      <t xml:space="preserve">感度 </t>
    </r>
    <r>
      <rPr>
        <b val="true"/>
        <sz val="10"/>
        <color rgb="FF1F3864"/>
        <rFont val="Arial"/>
        <family val="0"/>
        <charset val="1"/>
      </rPr>
      <t xml:space="preserve">dRH/dT</t>
    </r>
  </si>
  <si>
    <t xml:space="preserve">%RH/K</t>
  </si>
  <si>
    <r>
      <rPr>
        <i val="true"/>
        <sz val="9"/>
        <color rgb="FF595959"/>
        <rFont val="WenQuanYi Zen Hei"/>
        <family val="2"/>
      </rPr>
      <t xml:space="preserve">★ 約 −</t>
    </r>
    <r>
      <rPr>
        <i val="true"/>
        <sz val="9"/>
        <color rgb="FF595959"/>
        <rFont val="Arial"/>
        <family val="0"/>
        <charset val="1"/>
      </rPr>
      <t xml:space="preserve">4.34 %RH/K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18–22 °C </t>
    </r>
    <r>
      <rPr>
        <i val="true"/>
        <sz val="9"/>
        <color rgb="FF595959"/>
        <rFont val="WenQuanYi Zen Hei"/>
        <family val="2"/>
      </rPr>
      <t xml:space="preserve">の割線。</t>
    </r>
    <r>
      <rPr>
        <i val="true"/>
        <sz val="9"/>
        <color rgb="FF595959"/>
        <rFont val="Arial"/>
        <family val="0"/>
        <charset val="1"/>
      </rPr>
      <t xml:space="preserve">20 °C </t>
    </r>
    <r>
      <rPr>
        <i val="true"/>
        <sz val="9"/>
        <color rgb="FF595959"/>
        <rFont val="WenQuanYi Zen Hei"/>
        <family val="2"/>
      </rPr>
      <t xml:space="preserve">での接線は −</t>
    </r>
    <r>
      <rPr>
        <i val="true"/>
        <sz val="9"/>
        <color rgb="FF595959"/>
        <rFont val="Arial"/>
        <family val="0"/>
        <charset val="1"/>
      </rPr>
      <t xml:space="preserve">4.32</t>
    </r>
    <r>
      <rPr>
        <i val="true"/>
        <sz val="9"/>
        <color rgb="FF595959"/>
        <rFont val="WenQuanYi Zen Hei"/>
        <family val="2"/>
      </rPr>
      <t xml:space="preserve">）。</t>
    </r>
    <r>
      <rPr>
        <i val="true"/>
        <sz val="9"/>
        <color rgb="FF595959"/>
        <rFont val="Arial"/>
        <family val="0"/>
        <charset val="1"/>
      </rPr>
      <t xml:space="preserve">±1 %RH </t>
    </r>
    <r>
      <rPr>
        <i val="true"/>
        <sz val="9"/>
        <color rgb="FF595959"/>
        <rFont val="WenQuanYi Zen Hei"/>
        <family val="2"/>
      </rPr>
      <t xml:space="preserve">を守るには温度を </t>
    </r>
    <r>
      <rPr>
        <i val="true"/>
        <sz val="9"/>
        <color rgb="FF595959"/>
        <rFont val="Arial"/>
        <family val="0"/>
        <charset val="1"/>
      </rPr>
      <t xml:space="preserve">±0.23 K </t>
    </r>
    <r>
      <rPr>
        <i val="true"/>
        <sz val="9"/>
        <color rgb="FF595959"/>
        <rFont val="WenQuanYi Zen Hei"/>
        <family val="2"/>
      </rPr>
      <t xml:space="preserve">に制御する必要がある。最も厳しい要求。</t>
    </r>
  </si>
  <si>
    <r>
      <rPr>
        <b val="true"/>
        <sz val="10"/>
        <color rgb="FF1F3864"/>
        <rFont val="Arial"/>
        <family val="0"/>
        <charset val="1"/>
      </rPr>
      <t xml:space="preserve">±1 %RH </t>
    </r>
    <r>
      <rPr>
        <b val="true"/>
        <sz val="10"/>
        <color rgb="FF1F3864"/>
        <rFont val="WenQuanYi Zen Hei"/>
        <family val="2"/>
      </rPr>
      <t xml:space="preserve">に必要な温度精度</t>
    </r>
  </si>
  <si>
    <r>
      <rPr>
        <b val="true"/>
        <sz val="10"/>
        <color rgb="FF1F3864"/>
        <rFont val="Arial"/>
        <family val="0"/>
        <charset val="1"/>
      </rPr>
      <t xml:space="preserve">B. </t>
    </r>
    <r>
      <rPr>
        <b val="true"/>
        <sz val="10"/>
        <color rgb="FF1F3864"/>
        <rFont val="WenQuanYi Zen Hei"/>
        <family val="2"/>
      </rPr>
      <t xml:space="preserve">出力段圧力に対する感度 </t>
    </r>
    <r>
      <rPr>
        <b val="true"/>
        <sz val="10"/>
        <color rgb="FF1F3864"/>
        <rFont val="Arial"/>
        <family val="0"/>
        <charset val="1"/>
      </rPr>
      <t xml:space="preserve">/ Sensitivity to delivery pressure</t>
    </r>
  </si>
  <si>
    <r>
      <rPr>
        <b val="true"/>
        <sz val="11"/>
        <color rgb="FFFFFFFF"/>
        <rFont val="WenQuanYi Zen Hei"/>
        <family val="2"/>
      </rPr>
      <t xml:space="preserve">ゲージ圧 </t>
    </r>
    <r>
      <rPr>
        <b val="true"/>
        <sz val="11"/>
        <color rgb="FFFFFFFF"/>
        <rFont val="Arial"/>
        <family val="0"/>
        <charset val="1"/>
      </rPr>
      <t xml:space="preserve">[kPa]</t>
    </r>
  </si>
  <si>
    <r>
      <rPr>
        <b val="true"/>
        <sz val="11"/>
        <color rgb="FFFFFFFF"/>
        <rFont val="WenQuanYi Zen Hei"/>
        <family val="2"/>
      </rPr>
      <t xml:space="preserve">絶対圧 </t>
    </r>
    <r>
      <rPr>
        <b val="true"/>
        <sz val="11"/>
        <color rgb="FFFFFFFF"/>
        <rFont val="Arial"/>
        <family val="0"/>
        <charset val="1"/>
      </rPr>
      <t xml:space="preserve">[Pa]</t>
    </r>
  </si>
  <si>
    <r>
      <rPr>
        <b val="true"/>
        <sz val="10"/>
        <color rgb="FF1F3864"/>
        <rFont val="WenQuanYi Zen Hei"/>
        <family val="2"/>
      </rPr>
      <t xml:space="preserve">感度 </t>
    </r>
    <r>
      <rPr>
        <b val="true"/>
        <sz val="10"/>
        <color rgb="FF1F3864"/>
        <rFont val="Arial"/>
        <family val="0"/>
        <charset val="1"/>
      </rPr>
      <t xml:space="preserve">dRH/dp</t>
    </r>
  </si>
  <si>
    <t xml:space="preserve">%RH/kPa</t>
  </si>
  <si>
    <r>
      <rPr>
        <i val="true"/>
        <sz val="9"/>
        <color rgb="FF595959"/>
        <rFont val="Arial"/>
        <family val="0"/>
        <charset val="1"/>
      </rPr>
      <t xml:space="preserve">RH ∝ p</t>
    </r>
    <r>
      <rPr>
        <i val="true"/>
        <sz val="9"/>
        <color rgb="FF595959"/>
        <rFont val="WenQuanYi Zen Hei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±1 %RH </t>
    </r>
    <r>
      <rPr>
        <i val="true"/>
        <sz val="9"/>
        <color rgb="FF595959"/>
        <rFont val="WenQuanYi Zen Hei"/>
        <family val="2"/>
      </rPr>
      <t xml:space="preserve">には </t>
    </r>
    <r>
      <rPr>
        <i val="true"/>
        <sz val="9"/>
        <color rgb="FF595959"/>
        <rFont val="Arial"/>
        <family val="0"/>
        <charset val="1"/>
      </rPr>
      <t xml:space="preserve">±1.76 kPa</t>
    </r>
    <r>
      <rPr>
        <i val="true"/>
        <sz val="9"/>
        <color rgb="FF595959"/>
        <rFont val="WenQuanYi Zen Hei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05</t>
    </r>
    <r>
      <rPr>
        <i val="true"/>
        <sz val="9"/>
        <color rgb="FF595959"/>
        <rFont val="WenQuanYi Zen Hei"/>
        <family val="2"/>
      </rPr>
      <t xml:space="preserve">シートの同期排気なら余裕で満たせる。</t>
    </r>
  </si>
  <si>
    <r>
      <rPr>
        <b val="true"/>
        <sz val="10"/>
        <color rgb="FF1F3864"/>
        <rFont val="Arial"/>
        <family val="0"/>
        <charset val="1"/>
      </rPr>
      <t xml:space="preserve">C. </t>
    </r>
    <r>
      <rPr>
        <b val="true"/>
        <sz val="10"/>
        <color rgb="FF1F3864"/>
        <rFont val="WenQuanYi Zen Hei"/>
        <family val="2"/>
      </rPr>
      <t xml:space="preserve">飽和器温度に対する感度 </t>
    </r>
    <r>
      <rPr>
        <b val="true"/>
        <sz val="10"/>
        <color rgb="FF1F3864"/>
        <rFont val="Arial"/>
        <family val="0"/>
        <charset val="1"/>
      </rPr>
      <t xml:space="preserve">/ Sensitivity to saturator temperature</t>
    </r>
  </si>
  <si>
    <t xml:space="preserve">T_sat [°C]</t>
  </si>
  <si>
    <t xml:space="preserve">f_1 [-]</t>
  </si>
  <si>
    <t xml:space="preserve">x_v [-]</t>
  </si>
  <si>
    <r>
      <rPr>
        <b val="true"/>
        <sz val="11"/>
        <color rgb="FFFFFFFF"/>
        <rFont val="WenQuanYi Zen Hei"/>
        <family val="2"/>
      </rPr>
      <t xml:space="preserve">出力段 </t>
    </r>
    <r>
      <rPr>
        <b val="true"/>
        <sz val="11"/>
        <color rgb="FFFFFFFF"/>
        <rFont val="Arial"/>
        <family val="0"/>
        <charset val="1"/>
      </rPr>
      <t xml:space="preserve">RH [%]</t>
    </r>
  </si>
  <si>
    <r>
      <rPr>
        <b val="true"/>
        <sz val="10"/>
        <color rgb="FF1F3864"/>
        <rFont val="WenQuanYi Zen Hei"/>
        <family val="2"/>
      </rPr>
      <t xml:space="preserve">感度 </t>
    </r>
    <r>
      <rPr>
        <b val="true"/>
        <sz val="10"/>
        <color rgb="FF1F3864"/>
        <rFont val="Arial"/>
        <family val="0"/>
        <charset val="1"/>
      </rPr>
      <t xml:space="preserve">dRH/dT_sat</t>
    </r>
  </si>
  <si>
    <r>
      <rPr>
        <i val="true"/>
        <sz val="9"/>
        <color rgb="FF595959"/>
        <rFont val="WenQuanYi Zen Hei"/>
        <family val="2"/>
      </rPr>
      <t xml:space="preserve">飽和器も同程度に効く。飽和器槽は </t>
    </r>
    <r>
      <rPr>
        <i val="true"/>
        <sz val="9"/>
        <color rgb="FF595959"/>
        <rFont val="Arial"/>
        <family val="0"/>
        <charset val="1"/>
      </rPr>
      <t xml:space="preserve">±0.1 K </t>
    </r>
    <r>
      <rPr>
        <i val="true"/>
        <sz val="9"/>
        <color rgb="FF595959"/>
        <rFont val="WenQuanYi Zen Hei"/>
        <family val="2"/>
      </rPr>
      <t xml:space="preserve">以内で制御すること（</t>
    </r>
    <r>
      <rPr>
        <i val="true"/>
        <sz val="9"/>
        <color rgb="FF595959"/>
        <rFont val="Arial"/>
        <family val="0"/>
        <charset val="1"/>
      </rPr>
      <t xml:space="preserve">NIST HHG </t>
    </r>
    <r>
      <rPr>
        <i val="true"/>
        <sz val="9"/>
        <color rgb="FF595959"/>
        <rFont val="WenQuanYi Zen Hei"/>
        <family val="2"/>
      </rPr>
      <t xml:space="preserve">は </t>
    </r>
    <r>
      <rPr>
        <i val="true"/>
        <sz val="9"/>
        <color rgb="FF595959"/>
        <rFont val="Arial"/>
        <family val="0"/>
        <charset val="1"/>
      </rPr>
      <t xml:space="preserve">1 mK</t>
    </r>
    <r>
      <rPr>
        <i val="true"/>
        <sz val="9"/>
        <color rgb="FF595959"/>
        <rFont val="WenQuanYi Zen Hei"/>
        <family val="2"/>
      </rPr>
      <t xml:space="preserve">）。</t>
    </r>
  </si>
  <si>
    <r>
      <rPr>
        <b val="true"/>
        <sz val="10"/>
        <color rgb="FF1F3864"/>
        <rFont val="Arial"/>
        <family val="0"/>
        <charset val="1"/>
      </rPr>
      <t xml:space="preserve">D. </t>
    </r>
    <r>
      <rPr>
        <b val="true"/>
        <sz val="10"/>
        <color rgb="FF1F3864"/>
        <rFont val="WenQuanYi Zen Hei"/>
        <family val="2"/>
      </rPr>
      <t xml:space="preserve">一次圧の安定度が流量に与える影響 </t>
    </r>
    <r>
      <rPr>
        <b val="true"/>
        <sz val="10"/>
        <color rgb="FF1F3864"/>
        <rFont val="Arial"/>
        <family val="0"/>
        <charset val="1"/>
      </rPr>
      <t xml:space="preserve">/ Supply-pressure stability → flow error</t>
    </r>
  </si>
  <si>
    <r>
      <rPr>
        <i val="true"/>
        <sz val="9"/>
        <color rgb="FF595959"/>
        <rFont val="WenQuanYi Zen Hei"/>
        <family val="2"/>
      </rPr>
      <t xml:space="preserve">臨界ノズルでは </t>
    </r>
    <r>
      <rPr>
        <i val="true"/>
        <sz val="9"/>
        <color rgb="FF595959"/>
        <rFont val="Arial"/>
        <family val="0"/>
        <charset val="1"/>
      </rPr>
      <t xml:space="preserve">q_m ∝ p_0 </t>
    </r>
    <r>
      <rPr>
        <i val="true"/>
        <sz val="9"/>
        <color rgb="FF595959"/>
        <rFont val="WenQuanYi Zen Hei"/>
        <family val="2"/>
      </rPr>
      <t xml:space="preserve">なので、一次圧の相対変動はそのまま流量誤差になる（</t>
    </r>
    <r>
      <rPr>
        <i val="true"/>
        <sz val="9"/>
        <color rgb="FF595959"/>
        <rFont val="Arial"/>
        <family val="0"/>
        <charset val="1"/>
      </rPr>
      <t xml:space="preserve">1:1</t>
    </r>
    <r>
      <rPr>
        <i val="true"/>
        <sz val="9"/>
        <color rgb="FF595959"/>
        <rFont val="WenQuanYi Zen Hei"/>
        <family val="2"/>
      </rPr>
      <t xml:space="preserve">）。</t>
    </r>
  </si>
  <si>
    <r>
      <rPr>
        <b val="true"/>
        <sz val="11"/>
        <color rgb="FFFFFFFF"/>
        <rFont val="Arial"/>
        <family val="0"/>
        <charset val="1"/>
      </rPr>
      <t xml:space="preserve">p_1 </t>
    </r>
    <r>
      <rPr>
        <b val="true"/>
        <sz val="11"/>
        <color rgb="FFFFFFFF"/>
        <rFont val="WenQuanYi Zen Hei"/>
        <family val="2"/>
      </rPr>
      <t xml:space="preserve">変動 </t>
    </r>
    <r>
      <rPr>
        <b val="true"/>
        <sz val="11"/>
        <color rgb="FFFFFFFF"/>
        <rFont val="Arial"/>
        <family val="0"/>
        <charset val="1"/>
      </rPr>
      <t xml:space="preserve">[%]</t>
    </r>
  </si>
  <si>
    <r>
      <rPr>
        <b val="true"/>
        <sz val="11"/>
        <color rgb="FFFFFFFF"/>
        <rFont val="WenQuanYi Zen Hei"/>
        <family val="2"/>
      </rPr>
      <t xml:space="preserve">流量誤差 </t>
    </r>
    <r>
      <rPr>
        <b val="true"/>
        <sz val="11"/>
        <color rgb="FFFFFFFF"/>
        <rFont val="Arial"/>
        <family val="0"/>
        <charset val="1"/>
      </rPr>
      <t xml:space="preserve">[%]</t>
    </r>
  </si>
  <si>
    <r>
      <rPr>
        <b val="true"/>
        <sz val="11"/>
        <color rgb="FFFFFFFF"/>
        <rFont val="WenQuanYi Zen Hei"/>
        <family val="2"/>
      </rPr>
      <t xml:space="preserve">一次プレナムで許容される圧力リプル </t>
    </r>
    <r>
      <rPr>
        <b val="true"/>
        <sz val="11"/>
        <color rgb="FFFFFFFF"/>
        <rFont val="Arial"/>
        <family val="0"/>
        <charset val="1"/>
      </rPr>
      <t xml:space="preserve">[kPa]</t>
    </r>
  </si>
  <si>
    <t xml:space="preserve">—</t>
  </si>
  <si>
    <t xml:space="preserve">一次プレナムの実際のリプル（受動、同期なし）</t>
  </si>
  <si>
    <t xml:space="preserve">  → 流量誤差に換算</t>
  </si>
  <si>
    <t xml:space="preserve">★一次プレナムはノズル流量精度を直接決める。ここは大きめに取ること</t>
  </si>
  <si>
    <r>
      <rPr>
        <b val="true"/>
        <sz val="14"/>
        <color rgb="FF1F3864"/>
        <rFont val="WenQuanYi Zen Hei"/>
        <family val="2"/>
      </rPr>
      <t xml:space="preserve">検証 </t>
    </r>
    <r>
      <rPr>
        <b val="true"/>
        <sz val="14"/>
        <color rgb="FF1F3864"/>
        <rFont val="Arial"/>
        <family val="0"/>
        <charset val="1"/>
      </rPr>
      <t xml:space="preserve">/ Verification of the built-in correlations</t>
    </r>
  </si>
  <si>
    <r>
      <rPr>
        <i val="true"/>
        <sz val="9"/>
        <color rgb="FF595959"/>
        <rFont val="WenQuanYi Zen Hei"/>
        <family val="2"/>
      </rPr>
      <t xml:space="preserve">本シートの数式が参照標準を再現することを確認する。参照値は </t>
    </r>
    <r>
      <rPr>
        <i val="true"/>
        <sz val="9"/>
        <color rgb="FF595959"/>
        <rFont val="Arial"/>
        <family val="0"/>
        <charset val="1"/>
      </rPr>
      <t xml:space="preserve">Span–Wagner (1996)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IAPWS-95</t>
    </r>
    <r>
      <rPr>
        <i val="true"/>
        <sz val="9"/>
        <color rgb="FF595959"/>
        <rFont val="WenQuanYi Zen Hei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CIPM-2007</t>
    </r>
    <r>
      <rPr>
        <i val="true"/>
        <sz val="9"/>
        <color rgb="FF595959"/>
        <rFont val="WenQuanYi Zen Hei"/>
        <family val="2"/>
      </rPr>
      <t xml:space="preserve">。</t>
    </r>
  </si>
  <si>
    <t xml:space="preserve">本ブック</t>
  </si>
  <si>
    <t xml:space="preserve">参照値</t>
  </si>
  <si>
    <r>
      <rPr>
        <b val="true"/>
        <sz val="11"/>
        <color rgb="FFFFFFFF"/>
        <rFont val="WenQuanYi Zen Hei"/>
        <family val="2"/>
      </rPr>
      <t xml:space="preserve">偏差 </t>
    </r>
    <r>
      <rPr>
        <b val="true"/>
        <sz val="11"/>
        <color rgb="FFFFFFFF"/>
        <rFont val="Arial"/>
        <family val="0"/>
        <charset val="1"/>
      </rPr>
      <t xml:space="preserve">[%]</t>
    </r>
  </si>
  <si>
    <r>
      <rPr>
        <b val="true"/>
        <sz val="11"/>
        <color rgb="FFFFFFFF"/>
        <rFont val="WenQuanYi Zen Hei"/>
        <family val="2"/>
      </rPr>
      <t xml:space="preserve">出典 </t>
    </r>
    <r>
      <rPr>
        <b val="true"/>
        <sz val="11"/>
        <color rgb="FFFFFFFF"/>
        <rFont val="Arial"/>
        <family val="0"/>
        <charset val="1"/>
      </rPr>
      <t xml:space="preserve">/ source</t>
    </r>
  </si>
  <si>
    <t xml:space="preserve">p_sat(10.00 °C)</t>
  </si>
  <si>
    <t xml:space="preserve">IAPWS-95 (Wagner &amp; Pruß 2002)</t>
  </si>
  <si>
    <t xml:space="preserve">p_sat(14.00 °C)</t>
  </si>
  <si>
    <t xml:space="preserve">IAPWS-95</t>
  </si>
  <si>
    <t xml:space="preserve">p_sat(20.00 °C)</t>
  </si>
  <si>
    <t xml:space="preserve">p_sat(30.00 °C)</t>
  </si>
  <si>
    <t xml:space="preserve">B_CO2(273.15 K) [cm³/mol]</t>
  </si>
  <si>
    <r>
      <rPr>
        <i val="true"/>
        <sz val="9"/>
        <color rgb="FF595959"/>
        <rFont val="Arial"/>
        <family val="0"/>
        <charset val="1"/>
      </rPr>
      <t xml:space="preserve">Span &amp; Wagner (1996) </t>
    </r>
    <r>
      <rPr>
        <i val="true"/>
        <sz val="9"/>
        <color rgb="FF595959"/>
        <rFont val="WenQuanYi Zen Hei"/>
        <family val="2"/>
      </rPr>
      <t xml:space="preserve">零密度極限</t>
    </r>
  </si>
  <si>
    <t xml:space="preserve">B_CO2(293.15 K) [cm³/mol]</t>
  </si>
  <si>
    <t xml:space="preserve">Span &amp; Wagner (1996)</t>
  </si>
  <si>
    <t xml:space="preserve">B_CO2(323.15 K) [cm³/mol]</t>
  </si>
  <si>
    <t xml:space="preserve">Z_CO2(20 °C, 101.325 kPa)</t>
  </si>
  <si>
    <t xml:space="preserve">Z_CO2(20 °C, 250 kPa)</t>
  </si>
  <si>
    <t xml:space="preserve">Z_CO2(20 °C, 400 kPa)</t>
  </si>
  <si>
    <t xml:space="preserve">ρ_CO2(0 °C, 101.325 kPa) [kg/m³]</t>
  </si>
  <si>
    <t xml:space="preserve">ρ_CO2(20 °C, 101.325 kPa) [kg/m³]</t>
  </si>
  <si>
    <t xml:space="preserve">cp_CO2(20 °C, 101.325 kPa) [J/mol·K]</t>
  </si>
  <si>
    <t xml:space="preserve">cp_CO2(20 °C, 250 kPa) [J/mol·K]</t>
  </si>
  <si>
    <t xml:space="preserve">γ_CO2(20 °C, 101.325 kPa)</t>
  </si>
  <si>
    <t xml:space="preserve">γ_CO2(20 °C, 250 kPa)</t>
  </si>
  <si>
    <t xml:space="preserve">μ_CO2(20 °C) [µPa·s]</t>
  </si>
  <si>
    <r>
      <rPr>
        <i val="true"/>
        <sz val="9"/>
        <color rgb="FF595959"/>
        <rFont val="Arial"/>
        <family val="0"/>
        <charset val="1"/>
      </rPr>
      <t xml:space="preserve">Laesecke &amp; Muzny (2017); Fenghour (1998) </t>
    </r>
    <r>
      <rPr>
        <i val="true"/>
        <sz val="9"/>
        <color rgb="FF595959"/>
        <rFont val="WenQuanYi Zen Hei"/>
        <family val="2"/>
      </rPr>
      <t xml:space="preserve">と </t>
    </r>
    <r>
      <rPr>
        <i val="true"/>
        <sz val="9"/>
        <color rgb="FF595959"/>
        <rFont val="Arial"/>
        <family val="0"/>
        <charset val="1"/>
      </rPr>
      <t xml:space="preserve">0.04 % </t>
    </r>
    <r>
      <rPr>
        <i val="true"/>
        <sz val="9"/>
        <color rgb="FF595959"/>
        <rFont val="WenQuanYi Zen Hei"/>
        <family val="2"/>
      </rPr>
      <t xml:space="preserve">一致</t>
    </r>
  </si>
  <si>
    <t xml:space="preserve">μ_CO2(0 °C) [µPa·s]</t>
  </si>
  <si>
    <t xml:space="preserve">Laesecke &amp; Muzny (2017)</t>
  </si>
  <si>
    <t xml:space="preserve">k_CO2(20 °C) [mW/m·K]</t>
  </si>
  <si>
    <r>
      <rPr>
        <i val="true"/>
        <sz val="9"/>
        <color rgb="FF595959"/>
        <rFont val="Arial"/>
        <family val="0"/>
        <charset val="1"/>
      </rPr>
      <t xml:space="preserve">Huber et al. (2016)</t>
    </r>
    <r>
      <rPr>
        <i val="true"/>
        <sz val="9"/>
        <color rgb="FF595959"/>
        <rFont val="WenQuanYi Zen Hei"/>
        <family val="2"/>
      </rPr>
      <t xml:space="preserve">、相関自体の </t>
    </r>
    <r>
      <rPr>
        <i val="true"/>
        <sz val="9"/>
        <color rgb="FF595959"/>
        <rFont val="Arial"/>
        <family val="0"/>
        <charset val="1"/>
      </rPr>
      <t xml:space="preserve">u = 1 % (k=2)</t>
    </r>
  </si>
  <si>
    <t xml:space="preserve">μ_JT CO2(20 °C) [K/bar]</t>
  </si>
  <si>
    <r>
      <rPr>
        <i val="true"/>
        <sz val="9"/>
        <color rgb="FF595959"/>
        <rFont val="Arial"/>
        <family val="0"/>
        <charset val="1"/>
      </rPr>
      <t xml:space="preserve">Span &amp; Wagner (1996)</t>
    </r>
    <r>
      <rPr>
        <i val="true"/>
        <sz val="9"/>
        <color rgb="FF595959"/>
        <rFont val="WenQuanYi Zen Hei"/>
        <family val="2"/>
      </rPr>
      <t xml:space="preserve">。空気は </t>
    </r>
    <r>
      <rPr>
        <i val="true"/>
        <sz val="9"/>
        <color rgb="FF595959"/>
        <rFont val="Arial"/>
        <family val="0"/>
        <charset val="1"/>
      </rPr>
      <t xml:space="preserve">0.2362 K/bar</t>
    </r>
  </si>
  <si>
    <r>
      <rPr>
        <sz val="10"/>
        <rFont val="WenQuanYi Zen Hei"/>
        <family val="2"/>
      </rPr>
      <t xml:space="preserve">音速 </t>
    </r>
    <r>
      <rPr>
        <sz val="10"/>
        <rFont val="Arial"/>
        <family val="0"/>
        <charset val="1"/>
      </rPr>
      <t xml:space="preserve">CO2(20 °C, 101.325 kPa) [m/s]</t>
    </r>
  </si>
  <si>
    <t xml:space="preserve">k_H CO2 in H2O (20 °C) [MPa]</t>
  </si>
  <si>
    <t xml:space="preserve">IAPWS G7-04 (2004)</t>
  </si>
  <si>
    <t xml:space="preserve">B12(H2O-CO2, 20 °C) [cm³/mol]</t>
  </si>
  <si>
    <r>
      <rPr>
        <sz val="10"/>
        <rFont val="WenQuanYi Zen Hei"/>
        <family val="2"/>
      </rPr>
      <t xml:space="preserve">露点逆算 </t>
    </r>
    <r>
      <rPr>
        <sz val="10"/>
        <rFont val="Arial"/>
        <family val="0"/>
        <charset val="1"/>
      </rPr>
      <t xml:space="preserve">Hardy </t>
    </r>
    <r>
      <rPr>
        <sz val="10"/>
        <rFont val="WenQuanYi Zen Hei"/>
        <family val="2"/>
      </rPr>
      <t xml:space="preserve">式の往復誤差 </t>
    </r>
    <r>
      <rPr>
        <sz val="10"/>
        <rFont val="Arial"/>
        <family val="0"/>
        <charset val="1"/>
      </rPr>
      <t xml:space="preserve">[mK]</t>
    </r>
  </si>
  <si>
    <r>
      <rPr>
        <i val="true"/>
        <sz val="9"/>
        <color rgb="FF595959"/>
        <rFont val="Arial"/>
        <family val="0"/>
        <charset val="1"/>
      </rPr>
      <t xml:space="preserve">Hardy (1998)</t>
    </r>
    <r>
      <rPr>
        <i val="true"/>
        <sz val="9"/>
        <color rgb="FF595959"/>
        <rFont val="WenQuanYi Zen Hei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|</t>
    </r>
    <r>
      <rPr>
        <i val="true"/>
        <sz val="9"/>
        <color rgb="FF595959"/>
        <rFont val="WenQuanYi Zen Hei"/>
        <family val="2"/>
      </rPr>
      <t xml:space="preserve">誤差</t>
    </r>
    <r>
      <rPr>
        <i val="true"/>
        <sz val="9"/>
        <color rgb="FF595959"/>
        <rFont val="Arial"/>
        <family val="0"/>
        <charset val="1"/>
      </rPr>
      <t xml:space="preserve">| &lt; 1 mK </t>
    </r>
    <r>
      <rPr>
        <i val="true"/>
        <sz val="9"/>
        <color rgb="FF595959"/>
        <rFont val="WenQuanYi Zen Hei"/>
        <family val="2"/>
      </rPr>
      <t xml:space="preserve">なら合格</t>
    </r>
  </si>
  <si>
    <t xml:space="preserve">ε_CO2 = M_H2O/M_CO2</t>
  </si>
  <si>
    <r>
      <rPr>
        <i val="true"/>
        <sz val="9"/>
        <color rgb="FF595959"/>
        <rFont val="Arial"/>
        <family val="0"/>
        <charset val="1"/>
      </rPr>
      <t xml:space="preserve">CIAAW 2021</t>
    </r>
    <r>
      <rPr>
        <i val="true"/>
        <sz val="9"/>
        <color rgb="FF595959"/>
        <rFont val="WenQuanYi Zen Hei"/>
        <family val="2"/>
      </rPr>
      <t xml:space="preserve">。空気の </t>
    </r>
    <r>
      <rPr>
        <i val="true"/>
        <sz val="9"/>
        <color rgb="FF595959"/>
        <rFont val="Arial"/>
        <family val="0"/>
        <charset val="1"/>
      </rPr>
      <t xml:space="preserve">0.622 </t>
    </r>
    <r>
      <rPr>
        <i val="true"/>
        <sz val="9"/>
        <color rgb="FF595959"/>
        <rFont val="WenQuanYi Zen Hei"/>
        <family val="2"/>
      </rPr>
      <t xml:space="preserve">を使うと </t>
    </r>
    <r>
      <rPr>
        <i val="true"/>
        <sz val="9"/>
        <color rgb="FF595959"/>
        <rFont val="Arial"/>
        <family val="0"/>
        <charset val="1"/>
      </rPr>
      <t xml:space="preserve">+51.9 % </t>
    </r>
    <r>
      <rPr>
        <i val="true"/>
        <sz val="9"/>
        <color rgb="FF595959"/>
        <rFont val="WenQuanYi Zen Hei"/>
        <family val="2"/>
      </rPr>
      <t xml:space="preserve">の誤り</t>
    </r>
  </si>
  <si>
    <r>
      <rPr>
        <sz val="10"/>
        <rFont val="Arial"/>
        <family val="0"/>
        <charset val="1"/>
      </rPr>
      <t xml:space="preserve">V_m </t>
    </r>
    <r>
      <rPr>
        <sz val="10"/>
        <rFont val="WenQuanYi Zen Hei"/>
        <family val="2"/>
      </rPr>
      <t xml:space="preserve">標準状態 </t>
    </r>
    <r>
      <rPr>
        <sz val="10"/>
        <rFont val="Arial"/>
        <family val="0"/>
        <charset val="1"/>
      </rPr>
      <t xml:space="preserve">0 °C (DIN 1343) [L/mol]</t>
    </r>
  </si>
  <si>
    <r>
      <rPr>
        <i val="true"/>
        <sz val="9"/>
        <color rgb="FF595959"/>
        <rFont val="Arial"/>
        <family val="0"/>
        <charset val="1"/>
      </rPr>
      <t xml:space="preserve">DIN 1343:1990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= SEMI E12-0303</t>
    </r>
    <r>
      <rPr>
        <i val="true"/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</si>
  <si>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V_m 20 °C</t>
    </r>
    <r>
      <rPr>
        <sz val="10"/>
        <rFont val="WenQuanYi Zen Hei"/>
        <family val="2"/>
      </rPr>
      <t xml:space="preserve">（ベンダ慣行）</t>
    </r>
    <r>
      <rPr>
        <sz val="10"/>
        <rFont val="Arial"/>
        <family val="0"/>
        <charset val="1"/>
      </rPr>
      <t xml:space="preserve">[L/mol]</t>
    </r>
  </si>
  <si>
    <r>
      <rPr>
        <i val="true"/>
        <sz val="9"/>
        <color rgb="FF595959"/>
        <rFont val="WenQuanYi Zen Hei"/>
        <family val="2"/>
      </rPr>
      <t xml:space="preserve">標準ではない。</t>
    </r>
    <r>
      <rPr>
        <i val="true"/>
        <sz val="9"/>
        <color rgb="FF595959"/>
        <rFont val="Arial"/>
        <family val="0"/>
        <charset val="1"/>
      </rPr>
      <t xml:space="preserve">0 °C </t>
    </r>
    <r>
      <rPr>
        <i val="true"/>
        <sz val="9"/>
        <color rgb="FF595959"/>
        <rFont val="WenQuanYi Zen Hei"/>
        <family val="2"/>
      </rPr>
      <t xml:space="preserve">基準との差は </t>
    </r>
    <r>
      <rPr>
        <i val="true"/>
        <sz val="9"/>
        <color rgb="FF595959"/>
        <rFont val="Arial"/>
        <family val="0"/>
        <charset val="1"/>
      </rPr>
      <t xml:space="preserve">7.32 %</t>
    </r>
  </si>
  <si>
    <t xml:space="preserve">総合判定</t>
  </si>
  <si>
    <r>
      <rPr>
        <i val="true"/>
        <sz val="9"/>
        <color rgb="FF595959"/>
        <rFont val="WenQuanYi Zen Hei"/>
        <family val="2"/>
      </rPr>
      <t xml:space="preserve">参照値の取得方法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本セッションでは外部サイトへの直接アクセス（</t>
    </r>
    <r>
      <rPr>
        <i val="true"/>
        <sz val="9"/>
        <color rgb="FF595959"/>
        <rFont val="Arial"/>
        <family val="0"/>
        <charset val="1"/>
      </rPr>
      <t xml:space="preserve">WebFetch</t>
    </r>
    <r>
      <rPr>
        <i val="true"/>
        <sz val="9"/>
        <color rgb="FF595959"/>
        <rFont val="WenQuanYi Zen Hei"/>
        <family val="2"/>
      </rPr>
      <t xml:space="preserve">）が遮断されていたため、参照値は </t>
    </r>
    <r>
      <rPr>
        <i val="true"/>
        <sz val="9"/>
        <color rgb="FF595959"/>
        <rFont val="Arial"/>
        <family val="0"/>
        <charset val="1"/>
      </rPr>
      <t xml:space="preserve">Span–Wagner (1996)</t>
    </r>
    <r>
      <rPr>
        <i val="true"/>
        <sz val="9"/>
        <color rgb="FF595959"/>
        <rFont val="WenQuanYi Zen Hei"/>
        <family val="2"/>
      </rPr>
      <t xml:space="preserve">／</t>
    </r>
  </si>
  <si>
    <r>
      <rPr>
        <i val="true"/>
        <sz val="9"/>
        <color rgb="FF595959"/>
        <rFont val="Arial"/>
        <family val="0"/>
        <charset val="1"/>
      </rPr>
      <t xml:space="preserve">IAPWS-95</t>
    </r>
    <r>
      <rPr>
        <i val="true"/>
        <sz val="9"/>
        <color rgb="FF595959"/>
        <rFont val="WenQuanYi Zen Hei"/>
        <family val="2"/>
      </rPr>
      <t xml:space="preserve">／</t>
    </r>
    <r>
      <rPr>
        <i val="true"/>
        <sz val="9"/>
        <color rgb="FF595959"/>
        <rFont val="Arial"/>
        <family val="0"/>
        <charset val="1"/>
      </rPr>
      <t xml:space="preserve">Laesecke–Muzny (2017)</t>
    </r>
    <r>
      <rPr>
        <i val="true"/>
        <sz val="9"/>
        <color rgb="FF595959"/>
        <rFont val="WenQuanYi Zen Hei"/>
        <family val="2"/>
      </rPr>
      <t xml:space="preserve">／</t>
    </r>
    <r>
      <rPr>
        <i val="true"/>
        <sz val="9"/>
        <color rgb="FF595959"/>
        <rFont val="Arial"/>
        <family val="0"/>
        <charset val="1"/>
      </rPr>
      <t xml:space="preserve">Huber et al. (2016) </t>
    </r>
    <r>
      <rPr>
        <i val="true"/>
        <sz val="9"/>
        <color rgb="FF595959"/>
        <rFont val="WenQuanYi Zen Hei"/>
        <family val="2"/>
      </rPr>
      <t xml:space="preserve">を実装した </t>
    </r>
    <r>
      <rPr>
        <i val="true"/>
        <sz val="9"/>
        <color rgb="FF595959"/>
        <rFont val="Arial"/>
        <family val="0"/>
        <charset val="1"/>
      </rPr>
      <t xml:space="preserve">CoolProp 8.0.0 </t>
    </r>
    <r>
      <rPr>
        <i val="true"/>
        <sz val="9"/>
        <color rgb="FF595959"/>
        <rFont val="WenQuanYi Zen Hei"/>
        <family val="2"/>
      </rPr>
      <t xml:space="preserve">をローカルで実行して生成した。</t>
    </r>
  </si>
  <si>
    <r>
      <rPr>
        <i val="true"/>
        <sz val="9"/>
        <color rgb="FF595959"/>
        <rFont val="Arial"/>
        <family val="0"/>
        <charset val="1"/>
      </rPr>
      <t xml:space="preserve">CoolProp </t>
    </r>
    <r>
      <rPr>
        <i val="true"/>
        <sz val="9"/>
        <color rgb="FF595959"/>
        <rFont val="WenQuanYi Zen Hei"/>
        <family val="2"/>
      </rPr>
      <t xml:space="preserve">は </t>
    </r>
    <r>
      <rPr>
        <i val="true"/>
        <sz val="9"/>
        <color rgb="FF595959"/>
        <rFont val="Arial"/>
        <family val="0"/>
        <charset val="1"/>
      </rPr>
      <t xml:space="preserve">NIST REFPROP </t>
    </r>
    <r>
      <rPr>
        <i val="true"/>
        <sz val="9"/>
        <color rgb="FF595959"/>
        <rFont val="WenQuanYi Zen Hei"/>
        <family val="2"/>
      </rPr>
      <t xml:space="preserve">と同じ基準相関を実装しているが、学会投稿前には </t>
    </r>
    <r>
      <rPr>
        <i val="true"/>
        <sz val="9"/>
        <color rgb="FF595959"/>
        <rFont val="Arial"/>
        <family val="0"/>
        <charset val="1"/>
      </rPr>
      <t xml:space="preserve">NIST Webbook </t>
    </r>
    <r>
      <rPr>
        <i val="true"/>
        <sz val="9"/>
        <color rgb="FF595959"/>
        <rFont val="WenQuanYi Zen Hei"/>
        <family val="2"/>
      </rPr>
      <t xml:space="preserve">または </t>
    </r>
    <r>
      <rPr>
        <i val="true"/>
        <sz val="9"/>
        <color rgb="FF595959"/>
        <rFont val="Arial"/>
        <family val="0"/>
        <charset val="1"/>
      </rPr>
      <t xml:space="preserve">REFPROP </t>
    </r>
    <r>
      <rPr>
        <i val="true"/>
        <sz val="9"/>
        <color rgb="FF595959"/>
        <rFont val="WenQuanYi Zen Hei"/>
        <family val="2"/>
      </rPr>
      <t xml:space="preserve">で表を再生成し、</t>
    </r>
  </si>
  <si>
    <r>
      <rPr>
        <i val="true"/>
        <sz val="9"/>
        <color rgb="FF595959"/>
        <rFont val="WenQuanYi Zen Hei"/>
        <family val="2"/>
      </rPr>
      <t xml:space="preserve">そちらを引用することを推奨する（数値は一致するはずである）。文献の書誌情報は </t>
    </r>
    <r>
      <rPr>
        <i val="true"/>
        <sz val="9"/>
        <color rgb="FF595959"/>
        <rFont val="Arial"/>
        <family val="0"/>
        <charset val="1"/>
      </rPr>
      <t xml:space="preserve">WebSearch </t>
    </r>
    <r>
      <rPr>
        <i val="true"/>
        <sz val="9"/>
        <color rgb="FF595959"/>
        <rFont val="WenQuanYi Zen Hei"/>
        <family val="2"/>
      </rPr>
      <t xml:space="preserve">で確認済み。</t>
    </r>
  </si>
  <si>
    <r>
      <rPr>
        <b val="true"/>
        <sz val="14"/>
        <color rgb="FF1F3864"/>
        <rFont val="WenQuanYi Zen Hei"/>
        <family val="2"/>
      </rPr>
      <t xml:space="preserve">引用文献 </t>
    </r>
    <r>
      <rPr>
        <b val="true"/>
        <sz val="14"/>
        <color rgb="FF1F3864"/>
        <rFont val="Arial"/>
        <family val="0"/>
        <charset val="1"/>
      </rPr>
      <t xml:space="preserve">/ References</t>
    </r>
  </si>
  <si>
    <t xml:space="preserve">No.</t>
  </si>
  <si>
    <r>
      <rPr>
        <b val="true"/>
        <sz val="11"/>
        <color rgb="FFFFFFFF"/>
        <rFont val="WenQuanYi Zen Hei"/>
        <family val="2"/>
      </rPr>
      <t xml:space="preserve">分野 </t>
    </r>
    <r>
      <rPr>
        <b val="true"/>
        <sz val="11"/>
        <color rgb="FFFFFFFF"/>
        <rFont val="Arial"/>
        <family val="0"/>
        <charset val="1"/>
      </rPr>
      <t xml:space="preserve">/ topic</t>
    </r>
  </si>
  <si>
    <r>
      <rPr>
        <b val="true"/>
        <sz val="11"/>
        <color rgb="FFFFFFFF"/>
        <rFont val="WenQuanYi Zen Hei"/>
        <family val="2"/>
      </rPr>
      <t xml:space="preserve">文献 </t>
    </r>
    <r>
      <rPr>
        <b val="true"/>
        <sz val="11"/>
        <color rgb="FFFFFFFF"/>
        <rFont val="Arial"/>
        <family val="0"/>
        <charset val="1"/>
      </rPr>
      <t xml:space="preserve">/ reference</t>
    </r>
  </si>
  <si>
    <t xml:space="preserve">DOI / URL</t>
  </si>
  <si>
    <t xml:space="preserve">状態方程式</t>
  </si>
  <si>
    <r>
      <rPr>
        <sz val="10"/>
        <rFont val="Arial"/>
        <family val="0"/>
        <charset val="1"/>
      </rPr>
      <t xml:space="preserve">Span, R. &amp; Wagner, W. (1996) A New Equation of State for Carbon Dioxide…, J. Phys. Chem. Ref. Data 25(6), 1509–1596. </t>
    </r>
    <r>
      <rPr>
        <sz val="10"/>
        <rFont val="WenQuanYi Zen Hei"/>
        <family val="2"/>
      </rPr>
      <t xml:space="preserve">密度 </t>
    </r>
    <r>
      <rPr>
        <sz val="10"/>
        <rFont val="Arial"/>
        <family val="0"/>
        <charset val="1"/>
      </rPr>
      <t xml:space="preserve">±0.03–0.05 %</t>
    </r>
  </si>
  <si>
    <t xml:space="preserve">10.1063/1.555991</t>
  </si>
  <si>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ビリアル係数</t>
    </r>
  </si>
  <si>
    <r>
      <rPr>
        <sz val="10"/>
        <rFont val="Arial"/>
        <family val="0"/>
        <charset val="1"/>
      </rPr>
      <t xml:space="preserve">Duschek, W., Kleinrahm, R. &amp; Wagner, W. (1990) J. Chem. Thermodyn. 22(9), 827–840. B </t>
    </r>
    <r>
      <rPr>
        <sz val="10"/>
        <rFont val="WenQuanYi Zen Hei"/>
        <family val="2"/>
      </rPr>
      <t xml:space="preserve">を </t>
    </r>
    <r>
      <rPr>
        <sz val="10"/>
        <rFont val="Arial"/>
        <family val="0"/>
        <charset val="1"/>
      </rPr>
      <t xml:space="preserve">0.4 % </t>
    </r>
    <r>
      <rPr>
        <sz val="10"/>
        <rFont val="WenQuanYi Zen Hei"/>
        <family val="2"/>
      </rPr>
      <t xml:space="preserve">以内で決定</t>
    </r>
  </si>
  <si>
    <t xml:space="preserve">10.1016/0021-9614(90)90172-M</t>
  </si>
  <si>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粘度</t>
    </r>
  </si>
  <si>
    <r>
      <rPr>
        <sz val="10"/>
        <rFont val="Arial"/>
        <family val="0"/>
        <charset val="1"/>
      </rPr>
      <t xml:space="preserve">Laesecke, A. &amp; Muzny, C. D. (2017) J. Phys. Chem. Ref. Data 46, 013107</t>
    </r>
    <r>
      <rPr>
        <sz val="10"/>
        <rFont val="WenQuanYi Zen Hei"/>
        <family val="2"/>
      </rPr>
      <t xml:space="preserve">（現行の基準相関）</t>
    </r>
  </si>
  <si>
    <t xml:space="preserve">10.1063/1.4977429</t>
  </si>
  <si>
    <t xml:space="preserve">Fenghour, A., Wakeham, W. A. &amp; Vesovic, V. (1998) J. Phys. Chem. Ref. Data 27(1), 31–44</t>
  </si>
  <si>
    <t xml:space="preserve">10.1063/1.556013</t>
  </si>
  <si>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熱伝導率</t>
    </r>
  </si>
  <si>
    <r>
      <rPr>
        <sz val="10"/>
        <rFont val="Arial"/>
        <family val="0"/>
        <charset val="1"/>
      </rPr>
      <t xml:space="preserve">Huber, M. L. et al. (2016) J. Phys. Chem. Ref. Data 45(1), 013102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u = 1 % (k=2)</t>
    </r>
  </si>
  <si>
    <t xml:space="preserve">10.1063/1.4940892</t>
  </si>
  <si>
    <t xml:space="preserve">水の状態方程式</t>
  </si>
  <si>
    <t xml:space="preserve">Wagner, W. &amp; Pruß, A. (2002) J. Phys. Chem. Ref. Data 31(2), 387–535 (IAPWS-95)</t>
  </si>
  <si>
    <t xml:space="preserve">10.1063/1.1461829</t>
  </si>
  <si>
    <t xml:space="preserve">水の蒸気圧</t>
  </si>
  <si>
    <t xml:space="preserve">Wagner, W. &amp; Pruß, A. (1993) J. Phys. Chem. Ref. Data 22(3), 783–787 = IAPWS SR1-86</t>
  </si>
  <si>
    <t xml:space="preserve">10.1063/1.555926</t>
  </si>
  <si>
    <t xml:space="preserve">水の蒸気圧（実用）</t>
  </si>
  <si>
    <t xml:space="preserve">IAPWS R7-97(2012) Industrial Formulation 1997, Eq. (30)</t>
  </si>
  <si>
    <t xml:space="preserve">iapws.org/relguide/IF97-Rev</t>
  </si>
  <si>
    <t xml:space="preserve">湿度計測用蒸気圧</t>
  </si>
  <si>
    <t xml:space="preserve">Hardy, B. (1998) ITS-90 Formulations…, Proc. 3rd Int. Symp. Humidity &amp; Moisture, 214–222</t>
  </si>
  <si>
    <t xml:space="preserve">Hyland, R. W. &amp; Wexler, A. (1983) ASHRAE Trans. 89(2A), 500–519 = ASHRAE Fundamentals Ch.1 Eq.(6)</t>
  </si>
  <si>
    <r>
      <rPr>
        <sz val="10"/>
        <rFont val="Arial"/>
        <family val="0"/>
        <charset val="1"/>
      </rPr>
      <t xml:space="preserve">RH </t>
    </r>
    <r>
      <rPr>
        <sz val="10"/>
        <rFont val="WenQuanYi Zen Hei"/>
        <family val="2"/>
      </rPr>
      <t xml:space="preserve">の定義</t>
    </r>
  </si>
  <si>
    <r>
      <rPr>
        <sz val="10"/>
        <rFont val="Arial"/>
        <family val="0"/>
        <charset val="1"/>
      </rPr>
      <t xml:space="preserve">Lovell-Smith, J. W. et al. (2016) Metrologia 53(1), R40</t>
    </r>
    <r>
      <rPr>
        <sz val="10"/>
        <rFont val="WenQuanYi Zen Hei"/>
        <family val="2"/>
      </rPr>
      <t xml:space="preserve">。★非空気系 </t>
    </r>
    <r>
      <rPr>
        <sz val="10"/>
        <rFont val="Arial"/>
        <family val="0"/>
        <charset val="1"/>
      </rPr>
      <t xml:space="preserve">RH </t>
    </r>
    <r>
      <rPr>
        <sz val="10"/>
        <rFont val="WenQuanYi Zen Hei"/>
        <family val="2"/>
      </rPr>
      <t xml:space="preserve">定義の根拠</t>
    </r>
  </si>
  <si>
    <t xml:space="preserve">10.1088/0026-1394/53/1/R40</t>
  </si>
  <si>
    <r>
      <rPr>
        <sz val="10"/>
        <rFont val="Arial"/>
        <family val="0"/>
        <charset val="1"/>
      </rPr>
      <t xml:space="preserve">Feistel, R. &amp; Lovell-Smith, J. W. (2017) Metrologia 54(4), 566</t>
    </r>
    <r>
      <rPr>
        <sz val="10"/>
        <rFont val="WenQuanYi Zen Hei"/>
        <family val="2"/>
      </rPr>
      <t xml:space="preserve">（水の活量による定義）</t>
    </r>
  </si>
  <si>
    <t xml:space="preserve">10.1088/1681-7575/aa7083</t>
  </si>
  <si>
    <r>
      <rPr>
        <sz val="10"/>
        <rFont val="Arial"/>
        <family val="0"/>
        <charset val="1"/>
      </rPr>
      <t xml:space="preserve">WMO-No. 8 CIMO Guide, Ch.4 + Annex 4.A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は空気についてのみ表化されている</t>
    </r>
  </si>
  <si>
    <t xml:space="preserve">library.wmo.int/idurl/4/68695</t>
  </si>
  <si>
    <t xml:space="preserve">エンハンスメント係数（空気）</t>
  </si>
  <si>
    <r>
      <rPr>
        <sz val="10"/>
        <rFont val="Arial"/>
        <family val="0"/>
        <charset val="1"/>
      </rPr>
      <t xml:space="preserve">Greenspan, L. (1976) J. Res. NBS 80A(1), 41–44</t>
    </r>
    <r>
      <rPr>
        <sz val="10"/>
        <rFont val="WenQuanYi Zen Hei"/>
        <family val="2"/>
      </rPr>
      <t xml:space="preserve">。★『</t>
    </r>
    <r>
      <rPr>
        <sz val="10"/>
        <rFont val="Arial"/>
        <family val="0"/>
        <charset val="1"/>
      </rPr>
      <t xml:space="preserve">CO2-free moist air</t>
    </r>
    <r>
      <rPr>
        <sz val="10"/>
        <rFont val="WenQuanYi Zen Hei"/>
        <family val="2"/>
      </rPr>
      <t xml:space="preserve">』用であり 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系には使えない</t>
    </r>
  </si>
  <si>
    <t xml:space="preserve">10.6028/jres.080A.007</t>
  </si>
  <si>
    <t xml:space="preserve">Picard, A. et al. (2008) Metrologia 45, 149–155 (CIPM-2007)</t>
  </si>
  <si>
    <t xml:space="preserve">10.1088/0026-1394/45/2/004</t>
  </si>
  <si>
    <t xml:space="preserve">水–空気 交差ビリアル</t>
  </si>
  <si>
    <t xml:space="preserve">IAPWS G11-15 Guideline on a Virial Equation for the Fugacity of H2O in Humid Air</t>
  </si>
  <si>
    <t xml:space="preserve">iapws.org/documents/release/VirialFugacity</t>
  </si>
  <si>
    <r>
      <rPr>
        <sz val="10"/>
        <rFont val="WenQuanYi Zen Hei"/>
        <family val="2"/>
      </rPr>
      <t xml:space="preserve">★水–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交差ビリアル</t>
    </r>
  </si>
  <si>
    <r>
      <rPr>
        <sz val="10"/>
        <rFont val="Arial"/>
        <family val="0"/>
        <charset val="1"/>
      </rPr>
      <t xml:space="preserve">Meyer, C. W. &amp; Harvey, A. H. (2015) AIChE J. 61(9), 2913–2925</t>
    </r>
    <r>
      <rPr>
        <sz val="10"/>
        <rFont val="WenQuanYi Zen Hei"/>
        <family val="2"/>
      </rPr>
      <t xml:space="preserve">。水分量 </t>
    </r>
    <r>
      <rPr>
        <sz val="10"/>
        <rFont val="Arial"/>
        <family val="0"/>
        <charset val="1"/>
      </rPr>
      <t xml:space="preserve">u=0.3 % (k=2)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10–80 °C</t>
    </r>
  </si>
  <si>
    <t xml:space="preserve">10.1002/aic.14818</t>
  </si>
  <si>
    <t xml:space="preserve">Wheatley, R. J. &amp; Harvey, A. H. (2011) J. Chem. Phys. 134, 134309 + Erratum 145, 189901 (2016)</t>
  </si>
  <si>
    <t xml:space="preserve">10.1063/1.3574345</t>
  </si>
  <si>
    <r>
      <rPr>
        <sz val="10"/>
        <rFont val="Arial"/>
        <family val="0"/>
        <charset val="1"/>
      </rPr>
      <t xml:space="preserve">★CO2 </t>
    </r>
    <r>
      <rPr>
        <sz val="10"/>
        <rFont val="WenQuanYi Zen Hei"/>
        <family val="2"/>
      </rPr>
      <t xml:space="preserve">中の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実測</t>
    </r>
  </si>
  <si>
    <r>
      <rPr>
        <sz val="10"/>
        <rFont val="Arial"/>
        <family val="0"/>
        <charset val="1"/>
      </rPr>
      <t xml:space="preserve">Koglbauer, G. &amp; Wendland, M. (2008) J. Chem. Eng. Data 53(6), 1443–1448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20–100 °C</t>
    </r>
  </si>
  <si>
    <t xml:space="preserve">10.1021/je700386c</t>
  </si>
  <si>
    <r>
      <rPr>
        <sz val="10"/>
        <rFont val="WenQuanYi Zen Hei"/>
        <family val="2"/>
      </rPr>
      <t xml:space="preserve">水–</t>
    </r>
    <r>
      <rPr>
        <sz val="10"/>
        <rFont val="Arial"/>
        <family val="0"/>
        <charset val="1"/>
      </rPr>
      <t xml:space="preserve">CO2 PVT</t>
    </r>
  </si>
  <si>
    <t xml:space="preserve">Patel, M. R. &amp; Eubank, P. T. (1988) J. Chem. Eng. Data 33, 185</t>
  </si>
  <si>
    <t xml:space="preserve">ヘンリー定数</t>
  </si>
  <si>
    <t xml:space="preserve">IAPWS G7-04 Guideline on the Henry's Constant and Vapor-Liquid Distribution Constant</t>
  </si>
  <si>
    <t xml:space="preserve">iapws.org/documents/release/HenGuide</t>
  </si>
  <si>
    <r>
      <rPr>
        <sz val="10"/>
        <rFont val="WenQuanYi Zen Hei"/>
        <family val="2"/>
      </rPr>
      <t xml:space="preserve">湿潤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混合物</t>
    </r>
  </si>
  <si>
    <t xml:space="preserve">Gernert, J. &amp; Span, R. (2016) J. Chem. Thermodyn. 93, 274–293 (EOS-CG)</t>
  </si>
  <si>
    <t xml:space="preserve">10.1016/j.jct.2015.05.015</t>
  </si>
  <si>
    <t xml:space="preserve">臨界ノズル</t>
  </si>
  <si>
    <r>
      <rPr>
        <sz val="10"/>
        <rFont val="Arial"/>
        <family val="0"/>
        <charset val="1"/>
      </rPr>
      <t xml:space="preserve">ISO 9300:2022 Measurement of gas flow by means of critical flow nozzles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の </t>
    </r>
    <r>
      <rPr>
        <sz val="10"/>
        <rFont val="Arial"/>
        <family val="0"/>
        <charset val="1"/>
      </rPr>
      <t xml:space="preserve">C* </t>
    </r>
    <r>
      <rPr>
        <sz val="10"/>
        <rFont val="WenQuanYi Zen Hei"/>
        <family val="2"/>
      </rPr>
      <t xml:space="preserve">は </t>
    </r>
    <r>
      <rPr>
        <sz val="10"/>
        <rFont val="Arial"/>
        <family val="0"/>
        <charset val="1"/>
      </rPr>
      <t xml:space="preserve">Annex B</t>
    </r>
  </si>
  <si>
    <t xml:space="preserve">iso.org/standard/77401.html</t>
  </si>
  <si>
    <r>
      <rPr>
        <sz val="10"/>
        <rFont val="Arial"/>
        <family val="0"/>
        <charset val="1"/>
      </rPr>
      <t xml:space="preserve">★CO2 </t>
    </r>
    <r>
      <rPr>
        <sz val="10"/>
        <rFont val="WenQuanYi Zen Hei"/>
        <family val="2"/>
      </rPr>
      <t xml:space="preserve">の振動緩和</t>
    </r>
  </si>
  <si>
    <r>
      <rPr>
        <sz val="10"/>
        <rFont val="Arial"/>
        <family val="0"/>
        <charset val="1"/>
      </rPr>
      <t xml:space="preserve">Johnson, A. N. &amp; Wright, J. D. (2000) Flow Meas. Instrum. 11, 315–327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Cd </t>
    </r>
    <r>
      <rPr>
        <sz val="10"/>
        <rFont val="WenQuanYi Zen Hei"/>
        <family val="2"/>
      </rPr>
      <t xml:space="preserve">が最大 </t>
    </r>
    <r>
      <rPr>
        <sz val="10"/>
        <rFont val="Arial"/>
        <family val="0"/>
        <charset val="1"/>
      </rPr>
      <t xml:space="preserve">2 % </t>
    </r>
    <r>
      <rPr>
        <sz val="10"/>
        <rFont val="WenQuanYi Zen Hei"/>
        <family val="2"/>
      </rPr>
      <t xml:space="preserve">ずれる</t>
    </r>
  </si>
  <si>
    <t xml:space="preserve">10.1016/S0955-5986(00)00004-2</t>
  </si>
  <si>
    <t xml:space="preserve">実在気体 臨界流関数</t>
  </si>
  <si>
    <t xml:space="preserve">Johnson, R. C. (1965) NASA TN D-2565, Real-Gas Effects in Critical Flow Through Nozzles</t>
  </si>
  <si>
    <t xml:space="preserve">ntrs.nasa.gov</t>
  </si>
  <si>
    <t xml:space="preserve">標準状態</t>
  </si>
  <si>
    <r>
      <rPr>
        <sz val="10"/>
        <rFont val="Arial"/>
        <family val="0"/>
        <charset val="1"/>
      </rPr>
      <t xml:space="preserve">DIN 1343:1990-01 Referenzzustand, Normzustand, Normvolumen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0 °C, 101.325 kPa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</si>
  <si>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ISO 13443:1996 Natural gas — Standard reference conditions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15 °C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ISO 2533 </t>
    </r>
    <r>
      <rPr>
        <sz val="10"/>
        <rFont val="WenQuanYi Zen Hei"/>
        <family val="2"/>
      </rPr>
      <t xml:space="preserve">も </t>
    </r>
    <r>
      <rPr>
        <sz val="10"/>
        <rFont val="Arial"/>
        <family val="0"/>
        <charset val="1"/>
      </rPr>
      <t xml:space="preserve">15 °C</t>
    </r>
  </si>
  <si>
    <t xml:space="preserve">iso.org/standard/20461.html</t>
  </si>
  <si>
    <t xml:space="preserve">空気圧系のモデル化</t>
  </si>
  <si>
    <t xml:space="preserve">Andersen, B. W. (1967) The Analysis and Design of Pneumatic Systems, Wiley</t>
  </si>
  <si>
    <t xml:space="preserve">Beater, P. (2007) Pneumatic Drives: System Design, Modelling and Control, Springer</t>
  </si>
  <si>
    <t xml:space="preserve">10.1007/978-3-540-69471-7</t>
  </si>
  <si>
    <t xml:space="preserve">絞り要素のモデル</t>
  </si>
  <si>
    <t xml:space="preserve">ISO 6358-1:2013 Determination of flow-rate characteristics of components using compressible fluids</t>
  </si>
  <si>
    <t xml:space="preserve">iso.org/standard/56612.html</t>
  </si>
  <si>
    <t xml:space="preserve">層流流量素子</t>
  </si>
  <si>
    <r>
      <rPr>
        <sz val="10"/>
        <rFont val="Arial"/>
        <family val="0"/>
        <charset val="1"/>
      </rPr>
      <t xml:space="preserve">Wright, J. D., Cobu, T., Berg, R. F. &amp; Moldover, M. R. (2012) Flow Meas. Instrum. 25, 8–14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を含む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ガスで校正</t>
    </r>
  </si>
  <si>
    <t xml:space="preserve">10.1016/j.flowmeasinst.2011.07.003</t>
  </si>
  <si>
    <t xml:space="preserve">一次湿度標準</t>
  </si>
  <si>
    <r>
      <rPr>
        <sz val="10"/>
        <rFont val="Arial"/>
        <family val="0"/>
        <charset val="1"/>
      </rPr>
      <t xml:space="preserve">Meyer, C. W. et al. NIST Hybrid Humidity Generator</t>
    </r>
    <r>
      <rPr>
        <sz val="10"/>
        <rFont val="WenQuanYi Zen Hei"/>
        <family val="2"/>
      </rPr>
      <t xml:space="preserve">。露点 </t>
    </r>
    <r>
      <rPr>
        <sz val="10"/>
        <rFont val="Arial"/>
        <family val="0"/>
        <charset val="1"/>
      </rPr>
      <t xml:space="preserve">U(k=2) &lt; 0.025 °C</t>
    </r>
  </si>
  <si>
    <t xml:space="preserve">tsapps.nist.gov (pub_id=905221)</t>
  </si>
  <si>
    <r>
      <rPr>
        <sz val="10"/>
        <rFont val="Arial"/>
        <family val="0"/>
        <charset val="1"/>
      </rPr>
      <t xml:space="preserve">Hasegawa, S. &amp; Little, J. W. (1977) J. Res. NBS 81A(1), 81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NBS </t>
    </r>
    <r>
      <rPr>
        <sz val="10"/>
        <rFont val="WenQuanYi Zen Hei"/>
        <family val="2"/>
      </rPr>
      <t xml:space="preserve">二圧法）</t>
    </r>
  </si>
  <si>
    <t xml:space="preserve">10.6028/jres.081A.011</t>
  </si>
  <si>
    <t xml:space="preserve">配管の水分吸着</t>
  </si>
  <si>
    <r>
      <rPr>
        <sz val="10"/>
        <rFont val="Arial"/>
        <family val="0"/>
        <charset val="1"/>
      </rPr>
      <t xml:space="preserve">Salmon, E. et al. (2019) Atmos. Meas. Tech. 12, 3453–3461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PTFE </t>
    </r>
    <r>
      <rPr>
        <sz val="10"/>
        <rFont val="WenQuanYi Zen Hei"/>
        <family val="2"/>
      </rPr>
      <t xml:space="preserve">は湿度依存が無い</t>
    </r>
  </si>
  <si>
    <t xml:space="preserve">10.5194/amt-12-3453-2019</t>
  </si>
  <si>
    <r>
      <rPr>
        <sz val="10"/>
        <rFont val="Arial"/>
        <family val="0"/>
        <charset val="1"/>
      </rPr>
      <t xml:space="preserve">Nafion </t>
    </r>
    <r>
      <rPr>
        <sz val="10"/>
        <rFont val="WenQuanYi Zen Hei"/>
        <family val="2"/>
      </rPr>
      <t xml:space="preserve">の 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選択性</t>
    </r>
  </si>
  <si>
    <r>
      <rPr>
        <sz val="10"/>
        <rFont val="Arial"/>
        <family val="0"/>
        <charset val="1"/>
      </rPr>
      <t xml:space="preserve">Welp, L. R. et al. (2013) Atmos. Meas. Tech. 6, 1217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バイアス ≈ −</t>
    </r>
    <r>
      <rPr>
        <sz val="10"/>
        <rFont val="Arial"/>
        <family val="0"/>
        <charset val="1"/>
      </rPr>
      <t xml:space="preserve">0.05 ppm</t>
    </r>
  </si>
  <si>
    <t xml:space="preserve">10.5194/amt-6-1217-2013</t>
  </si>
  <si>
    <r>
      <rPr>
        <sz val="10"/>
        <rFont val="Arial"/>
        <family val="0"/>
        <charset val="1"/>
      </rPr>
      <t xml:space="preserve">★CO2 </t>
    </r>
    <r>
      <rPr>
        <sz val="10"/>
        <rFont val="WenQuanYi Zen Hei"/>
        <family val="2"/>
      </rPr>
      <t xml:space="preserve">中の </t>
    </r>
    <r>
      <rPr>
        <sz val="10"/>
        <rFont val="Arial"/>
        <family val="0"/>
        <charset val="1"/>
      </rPr>
      <t xml:space="preserve">RH </t>
    </r>
    <r>
      <rPr>
        <sz val="10"/>
        <rFont val="WenQuanYi Zen Hei"/>
        <family val="2"/>
      </rPr>
      <t xml:space="preserve">センサ</t>
    </r>
  </si>
  <si>
    <r>
      <rPr>
        <sz val="10"/>
        <rFont val="Arial"/>
        <family val="0"/>
        <charset val="1"/>
      </rPr>
      <t xml:space="preserve">Zych, M. et al. (2018) Sensors 18(8), 2615</t>
    </r>
    <r>
      <rPr>
        <sz val="10"/>
        <rFont val="WenQuanYi Zen Hei"/>
        <family val="2"/>
      </rPr>
      <t xml:space="preserve">。容量式</t>
    </r>
    <r>
      <rPr>
        <sz val="10"/>
        <rFont val="Arial"/>
        <family val="0"/>
        <charset val="1"/>
      </rPr>
      <t xml:space="preserve">RH</t>
    </r>
    <r>
      <rPr>
        <sz val="10"/>
        <rFont val="WenQuanYi Zen Hei"/>
        <family val="2"/>
      </rPr>
      <t xml:space="preserve">センサの </t>
    </r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交差感度</t>
    </r>
  </si>
  <si>
    <t xml:space="preserve">10.3390/s18082615</t>
  </si>
  <si>
    <t xml:space="preserve">配管加熱の余裕</t>
  </si>
  <si>
    <r>
      <rPr>
        <sz val="10"/>
        <rFont val="Arial"/>
        <family val="0"/>
        <charset val="1"/>
      </rPr>
      <t xml:space="preserve">US EPA Method 320</t>
    </r>
    <r>
      <rPr>
        <sz val="10"/>
        <rFont val="WenQuanYi Zen Hei"/>
        <family val="2"/>
      </rPr>
      <t xml:space="preserve">（抽出型</t>
    </r>
    <r>
      <rPr>
        <sz val="10"/>
        <rFont val="Arial"/>
        <family val="0"/>
        <charset val="1"/>
      </rPr>
      <t xml:space="preserve">FTIR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露点より最低 </t>
    </r>
    <r>
      <rPr>
        <sz val="10"/>
        <rFont val="Arial"/>
        <family val="0"/>
        <charset val="1"/>
      </rPr>
      <t xml:space="preserve">5 °C </t>
    </r>
    <r>
      <rPr>
        <sz val="10"/>
        <rFont val="WenQuanYi Zen Hei"/>
        <family val="2"/>
      </rPr>
      <t xml:space="preserve">高く保つこと</t>
    </r>
  </si>
  <si>
    <t xml:space="preserve">epa.gov</t>
  </si>
  <si>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腐食</t>
    </r>
  </si>
  <si>
    <t xml:space="preserve">de Waard, C. &amp; Milliams, D. E. (1975) Corrosion 31(5), 177</t>
  </si>
  <si>
    <t xml:space="preserve">10.5006/0010-9312-31.5.177</t>
  </si>
  <si>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溶解水の </t>
    </r>
    <r>
      <rPr>
        <sz val="10"/>
        <rFont val="Arial"/>
        <family val="0"/>
        <charset val="1"/>
      </rPr>
      <t xml:space="preserve">pH</t>
    </r>
  </si>
  <si>
    <r>
      <rPr>
        <sz val="10"/>
        <rFont val="Arial"/>
        <family val="0"/>
        <charset val="1"/>
      </rPr>
      <t xml:space="preserve">Peng, C. et al. (2017) Int. J. Greenhouse Gas Control 56, 26–36</t>
    </r>
    <r>
      <rPr>
        <sz val="10"/>
        <rFont val="WenQuanYi Zen Hei"/>
        <family val="2"/>
      </rPr>
      <t xml:space="preserve">。実測 </t>
    </r>
    <r>
      <rPr>
        <sz val="10"/>
        <rFont val="Arial"/>
        <family val="0"/>
        <charset val="1"/>
      </rPr>
      <t xml:space="preserve">pH 3.6–3.9</t>
    </r>
  </si>
  <si>
    <t xml:space="preserve">10.1016/j.ijggc.2016.11.024</t>
  </si>
  <si>
    <r>
      <rPr>
        <sz val="10"/>
        <rFont val="Arial"/>
        <family val="0"/>
        <charset val="1"/>
      </rPr>
      <t xml:space="preserve">CO2 </t>
    </r>
    <r>
      <rPr>
        <sz val="10"/>
        <rFont val="WenQuanYi Zen Hei"/>
        <family val="2"/>
      </rPr>
      <t xml:space="preserve">安全</t>
    </r>
  </si>
  <si>
    <r>
      <rPr>
        <sz val="10"/>
        <rFont val="Arial"/>
        <family val="0"/>
        <charset val="1"/>
      </rPr>
      <t xml:space="preserve">CGA G-6.14 (2023) Standard for Carbon Dioxide Monitoring…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5000/30000 ppm </t>
    </r>
    <r>
      <rPr>
        <sz val="10"/>
        <rFont val="WenQuanYi Zen Hei"/>
        <family val="2"/>
      </rPr>
      <t xml:space="preserve">警報</t>
    </r>
  </si>
  <si>
    <r>
      <rPr>
        <sz val="10"/>
        <rFont val="Arial"/>
        <family val="0"/>
        <charset val="1"/>
      </rPr>
      <t xml:space="preserve">EIGA Doc 44/18 Hazards of Oxygen-Deficient Atmospheres</t>
    </r>
    <r>
      <rPr>
        <sz val="10"/>
        <rFont val="WenQuanYi Zen Hei"/>
        <family val="2"/>
      </rPr>
      <t xml:space="preserve">。酸素計では代用不可</t>
    </r>
  </si>
  <si>
    <t xml:space="preserve">eiga.eu</t>
  </si>
  <si>
    <t xml:space="preserve">曝露限界</t>
  </si>
  <si>
    <r>
      <rPr>
        <sz val="10"/>
        <rFont val="Arial"/>
        <family val="0"/>
        <charset val="1"/>
      </rPr>
      <t xml:space="preserve">NIOSH Pocket Guide (CO2): REL 5000 ppm TWA / 30000 ppm STEL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IDLH 40000 ppm</t>
    </r>
  </si>
  <si>
    <t xml:space="preserve">cdc.gov/niosh/npg/npgd0103.html</t>
  </si>
  <si>
    <t xml:space="preserve">原子量</t>
  </si>
  <si>
    <t xml:space="preserve">Prohaska, T. et al. (2022) Pure Appl. Chem. 94(5), 573–600 (CIAAW 2021)</t>
  </si>
  <si>
    <t xml:space="preserve">10.1515/pac-2019-0603</t>
  </si>
  <si>
    <t xml:space="preserve">計算ツール</t>
  </si>
  <si>
    <t xml:space="preserve">Bell, I. H. et al. (2014) Ind. Eng. Chem. Res. 53(6), 2498–2508 (CoolProp)</t>
  </si>
  <si>
    <t xml:space="preserve">10.1021/ie4033999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</si>
</sst>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"/>
    <numFmt numFmtId="166" formatCode="0.0%"/>
    <numFmt numFmtId="167" formatCode="0.0"/>
    <numFmt numFmtId="168" formatCode="0"/>
    <numFmt numFmtId="169" formatCode="0.0000"/>
    <numFmt numFmtId="170" formatCode="0.00"/>
    <numFmt numFmtId="171" formatCode="0.000000"/>
    <numFmt numFmtId="172" formatCode="0.00000"/>
    <numFmt numFmtId="173" formatCode="0.00E+00"/>
    <numFmt numFmtId="174" formatCode="0.00000000"/>
    <numFmt numFmtId="175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i val="true"/>
      <sz val="9"/>
      <color rgb="FF595959"/>
      <name val="WenQuanYi Zen Hei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0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true" outlineLevel="0" collapsed="false">
      <c r="B5" s="3" t="s">
        <v>2</v>
      </c>
      <c r="C5" s="4" t="s">
        <v>3</v>
      </c>
    </row>
    <row r="6" customFormat="false" ht="15" hidden="false" customHeight="true" outlineLevel="0" collapsed="false">
      <c r="C6" s="4" t="s">
        <v>4</v>
      </c>
    </row>
    <row r="7" customFormat="false" ht="15" hidden="false" customHeight="true" outlineLevel="0" collapsed="false">
      <c r="C7" s="4" t="s">
        <v>5</v>
      </c>
    </row>
    <row r="9" customFormat="false" ht="15" hidden="false" customHeight="true" outlineLevel="0" collapsed="false">
      <c r="B9" s="3" t="s">
        <v>6</v>
      </c>
      <c r="C9" s="4" t="s">
        <v>7</v>
      </c>
    </row>
    <row r="10" customFormat="false" ht="15" hidden="false" customHeight="true" outlineLevel="0" collapsed="false">
      <c r="C10" s="4" t="s">
        <v>8</v>
      </c>
    </row>
    <row r="11" customFormat="false" ht="15" hidden="false" customHeight="true" outlineLevel="0" collapsed="false">
      <c r="C11" s="4" t="s">
        <v>9</v>
      </c>
    </row>
    <row r="12" customFormat="false" ht="15" hidden="false" customHeight="true" outlineLevel="0" collapsed="false">
      <c r="C12" s="5" t="s">
        <v>10</v>
      </c>
    </row>
    <row r="13" customFormat="false" ht="15" hidden="false" customHeight="true" outlineLevel="0" collapsed="false">
      <c r="C13" s="4" t="s">
        <v>11</v>
      </c>
    </row>
    <row r="15" customFormat="false" ht="15" hidden="false" customHeight="true" outlineLevel="0" collapsed="false">
      <c r="B15" s="3" t="s">
        <v>12</v>
      </c>
      <c r="C15" s="4" t="s">
        <v>13</v>
      </c>
    </row>
    <row r="16" customFormat="false" ht="15" hidden="false" customHeight="true" outlineLevel="0" collapsed="false">
      <c r="C16" s="4" t="s">
        <v>14</v>
      </c>
    </row>
    <row r="17" customFormat="false" ht="15" hidden="false" customHeight="true" outlineLevel="0" collapsed="false">
      <c r="C17" s="4" t="s">
        <v>15</v>
      </c>
    </row>
    <row r="18" customFormat="false" ht="15" hidden="false" customHeight="true" outlineLevel="0" collapsed="false">
      <c r="C18" s="4" t="s">
        <v>16</v>
      </c>
    </row>
    <row r="19" customFormat="false" ht="15" hidden="false" customHeight="true" outlineLevel="0" collapsed="false">
      <c r="C19" s="4" t="s">
        <v>17</v>
      </c>
    </row>
    <row r="20" customFormat="false" ht="15" hidden="false" customHeight="true" outlineLevel="0" collapsed="false">
      <c r="C20" s="4" t="s">
        <v>18</v>
      </c>
    </row>
    <row r="22" customFormat="false" ht="15" hidden="false" customHeight="true" outlineLevel="0" collapsed="false">
      <c r="B22" s="3" t="s">
        <v>19</v>
      </c>
      <c r="C22" s="4" t="s">
        <v>20</v>
      </c>
    </row>
    <row r="23" customFormat="false" ht="15" hidden="false" customHeight="true" outlineLevel="0" collapsed="false">
      <c r="C23" s="4" t="s">
        <v>21</v>
      </c>
    </row>
    <row r="24" customFormat="false" ht="15" hidden="false" customHeight="true" outlineLevel="0" collapsed="false">
      <c r="C24" s="4" t="s">
        <v>22</v>
      </c>
    </row>
    <row r="25" customFormat="false" ht="15" hidden="false" customHeight="true" outlineLevel="0" collapsed="false">
      <c r="C25" s="4" t="s">
        <v>23</v>
      </c>
    </row>
    <row r="26" customFormat="false" ht="15" hidden="false" customHeight="true" outlineLevel="0" collapsed="false">
      <c r="C26" s="4" t="s">
        <v>24</v>
      </c>
    </row>
    <row r="27" customFormat="false" ht="15" hidden="false" customHeight="true" outlineLevel="0" collapsed="false">
      <c r="C27" s="4" t="s">
        <v>25</v>
      </c>
    </row>
    <row r="28" customFormat="false" ht="15" hidden="false" customHeight="true" outlineLevel="0" collapsed="false">
      <c r="C28" s="4" t="s">
        <v>26</v>
      </c>
    </row>
    <row r="29" customFormat="false" ht="15" hidden="false" customHeight="true" outlineLevel="0" collapsed="false">
      <c r="C29" s="4" t="s">
        <v>27</v>
      </c>
    </row>
    <row r="31" customFormat="false" ht="15" hidden="false" customHeight="true" outlineLevel="0" collapsed="false">
      <c r="B31" s="3" t="s">
        <v>28</v>
      </c>
      <c r="C31" s="4" t="s">
        <v>29</v>
      </c>
    </row>
    <row r="32" customFormat="false" ht="15" hidden="false" customHeight="true" outlineLevel="0" collapsed="false">
      <c r="C32" s="4" t="s">
        <v>30</v>
      </c>
    </row>
    <row r="33" customFormat="false" ht="15" hidden="false" customHeight="true" outlineLevel="0" collapsed="false">
      <c r="C33" s="4" t="s">
        <v>31</v>
      </c>
    </row>
    <row r="34" customFormat="false" ht="15" hidden="false" customHeight="true" outlineLevel="0" collapsed="false">
      <c r="C34" s="4" t="s">
        <v>32</v>
      </c>
    </row>
    <row r="35" customFormat="false" ht="15" hidden="false" customHeight="true" outlineLevel="0" collapsed="false">
      <c r="C35" s="4" t="s">
        <v>33</v>
      </c>
    </row>
    <row r="36" customFormat="false" ht="15" hidden="false" customHeight="true" outlineLevel="0" collapsed="false">
      <c r="C36" s="4" t="s">
        <v>34</v>
      </c>
    </row>
    <row r="37" customFormat="false" ht="15" hidden="false" customHeight="true" outlineLevel="0" collapsed="false">
      <c r="C37" s="4" t="s">
        <v>35</v>
      </c>
    </row>
    <row r="39" customFormat="false" ht="15" hidden="false" customHeight="true" outlineLevel="0" collapsed="false">
      <c r="B39" s="3" t="s">
        <v>36</v>
      </c>
      <c r="C39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74"/>
  </cols>
  <sheetData>
    <row r="1" customFormat="false" ht="19.4" hidden="false" customHeight="false" outlineLevel="0" collapsed="false">
      <c r="A1" s="1" t="s">
        <v>38</v>
      </c>
    </row>
    <row r="2" customFormat="false" ht="15" hidden="false" customHeight="false" outlineLevel="0" collapsed="false">
      <c r="A2" s="6" t="s">
        <v>39</v>
      </c>
    </row>
    <row r="4" customFormat="false" ht="15" hidden="false" customHeight="false" outlineLevel="0" collapsed="false">
      <c r="A4" s="7" t="s">
        <v>40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false" outlineLevel="0" collapsed="false">
      <c r="A5" s="9" t="s">
        <v>41</v>
      </c>
      <c r="B5" s="10" t="n">
        <v>101.325</v>
      </c>
      <c r="C5" s="11" t="s">
        <v>42</v>
      </c>
      <c r="D5" s="6" t="s">
        <v>43</v>
      </c>
    </row>
    <row r="6" customFormat="false" ht="15" hidden="false" customHeight="false" outlineLevel="0" collapsed="false">
      <c r="A6" s="9" t="s">
        <v>44</v>
      </c>
      <c r="B6" s="10" t="n">
        <v>20</v>
      </c>
      <c r="C6" s="11" t="s">
        <v>42</v>
      </c>
      <c r="D6" s="6" t="s">
        <v>45</v>
      </c>
    </row>
    <row r="7" customFormat="false" ht="15" hidden="false" customHeight="false" outlineLevel="0" collapsed="false">
      <c r="A7" s="9" t="s">
        <v>46</v>
      </c>
      <c r="B7" s="10" t="n">
        <v>20</v>
      </c>
      <c r="C7" s="11" t="s">
        <v>47</v>
      </c>
      <c r="D7" s="6" t="s">
        <v>2</v>
      </c>
    </row>
    <row r="8" customFormat="false" ht="15" hidden="false" customHeight="false" outlineLevel="0" collapsed="false">
      <c r="A8" s="9" t="s">
        <v>48</v>
      </c>
      <c r="B8" s="12" t="n">
        <v>0.7</v>
      </c>
      <c r="C8" s="11" t="s">
        <v>49</v>
      </c>
      <c r="D8" s="6" t="s">
        <v>50</v>
      </c>
    </row>
    <row r="9" customFormat="false" ht="15" hidden="false" customHeight="false" outlineLevel="0" collapsed="false">
      <c r="A9" s="9" t="s">
        <v>51</v>
      </c>
      <c r="B9" s="13" t="n">
        <f aca="false">01_入力!$B$5+01_入力!$B$6</f>
        <v>121.325</v>
      </c>
      <c r="C9" s="11" t="s">
        <v>42</v>
      </c>
      <c r="D9" s="6" t="s">
        <v>52</v>
      </c>
    </row>
    <row r="11" customFormat="false" ht="15" hidden="false" customHeight="false" outlineLevel="0" collapsed="false">
      <c r="A11" s="7" t="s">
        <v>53</v>
      </c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9" t="s">
        <v>54</v>
      </c>
      <c r="B12" s="10" t="n">
        <v>300</v>
      </c>
      <c r="C12" s="11" t="s">
        <v>55</v>
      </c>
      <c r="D12" s="6" t="s">
        <v>56</v>
      </c>
    </row>
    <row r="13" customFormat="false" ht="15" hidden="false" customHeight="false" outlineLevel="0" collapsed="false">
      <c r="A13" s="9" t="s">
        <v>57</v>
      </c>
      <c r="B13" s="12" t="n">
        <v>0.9</v>
      </c>
      <c r="C13" s="11" t="s">
        <v>49</v>
      </c>
      <c r="D13" s="6" t="s">
        <v>58</v>
      </c>
    </row>
    <row r="14" customFormat="false" ht="15" hidden="false" customHeight="false" outlineLevel="0" collapsed="false">
      <c r="A14" s="9" t="s">
        <v>59</v>
      </c>
      <c r="B14" s="10" t="n">
        <v>30.655</v>
      </c>
      <c r="C14" s="11" t="s">
        <v>47</v>
      </c>
      <c r="D14" s="2" t="s">
        <v>60</v>
      </c>
    </row>
    <row r="15" customFormat="false" ht="15" hidden="false" customHeight="false" outlineLevel="0" collapsed="false">
      <c r="A15" s="9" t="s">
        <v>61</v>
      </c>
      <c r="B15" s="10" t="n">
        <v>34</v>
      </c>
      <c r="C15" s="11" t="s">
        <v>47</v>
      </c>
      <c r="D15" s="6" t="s">
        <v>62</v>
      </c>
    </row>
    <row r="17" customFormat="false" ht="15" hidden="false" customHeight="false" outlineLevel="0" collapsed="false">
      <c r="A17" s="7" t="s">
        <v>63</v>
      </c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9" t="s">
        <v>64</v>
      </c>
      <c r="B18" s="10" t="n">
        <v>30</v>
      </c>
      <c r="C18" s="11" t="s">
        <v>65</v>
      </c>
    </row>
    <row r="19" customFormat="false" ht="15" hidden="false" customHeight="false" outlineLevel="0" collapsed="false">
      <c r="A19" s="9" t="s">
        <v>66</v>
      </c>
      <c r="B19" s="10" t="n">
        <v>15</v>
      </c>
      <c r="C19" s="11" t="s">
        <v>65</v>
      </c>
    </row>
    <row r="20" customFormat="false" ht="15" hidden="false" customHeight="false" outlineLevel="0" collapsed="false">
      <c r="A20" s="9" t="s">
        <v>67</v>
      </c>
      <c r="B20" s="10" t="n">
        <v>30</v>
      </c>
      <c r="C20" s="11" t="s">
        <v>68</v>
      </c>
      <c r="D20" s="6" t="s">
        <v>69</v>
      </c>
    </row>
    <row r="21" customFormat="false" ht="15" hidden="false" customHeight="false" outlineLevel="0" collapsed="false">
      <c r="A21" s="9" t="s">
        <v>70</v>
      </c>
      <c r="B21" s="10" t="n">
        <v>30</v>
      </c>
      <c r="C21" s="11" t="s">
        <v>68</v>
      </c>
      <c r="D21" s="6" t="s">
        <v>71</v>
      </c>
    </row>
    <row r="22" customFormat="false" ht="15" hidden="false" customHeight="false" outlineLevel="0" collapsed="false">
      <c r="A22" s="9" t="s">
        <v>72</v>
      </c>
      <c r="B22" s="10" t="n">
        <v>0</v>
      </c>
      <c r="C22" s="11" t="s">
        <v>47</v>
      </c>
      <c r="D22" s="2" t="s">
        <v>73</v>
      </c>
    </row>
    <row r="23" customFormat="false" ht="15" hidden="false" customHeight="false" outlineLevel="0" collapsed="false">
      <c r="A23" s="9" t="s">
        <v>74</v>
      </c>
      <c r="B23" s="10" t="n">
        <v>101.325</v>
      </c>
      <c r="C23" s="11" t="s">
        <v>42</v>
      </c>
      <c r="D23" s="2" t="s">
        <v>75</v>
      </c>
    </row>
    <row r="25" customFormat="false" ht="15" hidden="false" customHeight="false" outlineLevel="0" collapsed="false">
      <c r="A25" s="7" t="s">
        <v>76</v>
      </c>
      <c r="B25" s="8"/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A26" s="9" t="s">
        <v>77</v>
      </c>
      <c r="B26" s="10" t="n">
        <v>0.5</v>
      </c>
      <c r="C26" s="11" t="s">
        <v>78</v>
      </c>
      <c r="D26" s="6" t="s">
        <v>79</v>
      </c>
    </row>
    <row r="27" customFormat="false" ht="15" hidden="false" customHeight="false" outlineLevel="0" collapsed="false">
      <c r="A27" s="9" t="s">
        <v>80</v>
      </c>
      <c r="B27" s="10" t="n">
        <v>100</v>
      </c>
      <c r="C27" s="11" t="s">
        <v>81</v>
      </c>
      <c r="D27" s="6" t="s">
        <v>82</v>
      </c>
    </row>
    <row r="28" customFormat="false" ht="15" hidden="false" customHeight="false" outlineLevel="0" collapsed="false">
      <c r="A28" s="9" t="s">
        <v>83</v>
      </c>
      <c r="B28" s="10" t="n">
        <v>8</v>
      </c>
      <c r="C28" s="11" t="s">
        <v>84</v>
      </c>
    </row>
    <row r="29" customFormat="false" ht="15" hidden="false" customHeight="false" outlineLevel="0" collapsed="false">
      <c r="A29" s="9" t="s">
        <v>85</v>
      </c>
      <c r="B29" s="10" t="n">
        <v>0.025</v>
      </c>
      <c r="C29" s="11" t="s">
        <v>86</v>
      </c>
      <c r="D29" s="6" t="s">
        <v>87</v>
      </c>
    </row>
    <row r="30" customFormat="false" ht="15" hidden="false" customHeight="false" outlineLevel="0" collapsed="false">
      <c r="A30" s="9" t="s">
        <v>88</v>
      </c>
      <c r="B30" s="10" t="n">
        <v>1</v>
      </c>
      <c r="C30" s="11" t="s">
        <v>68</v>
      </c>
      <c r="D30" s="2" t="s">
        <v>89</v>
      </c>
    </row>
    <row r="31" customFormat="false" ht="15" hidden="false" customHeight="false" outlineLevel="0" collapsed="false">
      <c r="A31" s="9" t="s">
        <v>90</v>
      </c>
      <c r="B31" s="10" t="n">
        <v>0.5</v>
      </c>
      <c r="C31" s="11" t="s">
        <v>68</v>
      </c>
      <c r="D31" s="6" t="s">
        <v>91</v>
      </c>
    </row>
    <row r="32" customFormat="false" ht="15" hidden="false" customHeight="false" outlineLevel="0" collapsed="false">
      <c r="A32" s="9" t="s">
        <v>92</v>
      </c>
      <c r="B32" s="10" t="n">
        <v>1.29</v>
      </c>
      <c r="C32" s="11" t="s">
        <v>49</v>
      </c>
      <c r="D32" s="2" t="s">
        <v>93</v>
      </c>
    </row>
    <row r="33" customFormat="false" ht="15" hidden="false" customHeight="false" outlineLevel="0" collapsed="false">
      <c r="A33" s="9" t="s">
        <v>94</v>
      </c>
      <c r="B33" s="10" t="n">
        <v>0.62</v>
      </c>
      <c r="C33" s="11" t="s">
        <v>49</v>
      </c>
      <c r="D33" s="6" t="s">
        <v>95</v>
      </c>
    </row>
    <row r="34" customFormat="false" ht="15" hidden="false" customHeight="false" outlineLevel="0" collapsed="false">
      <c r="A34" s="9" t="s">
        <v>96</v>
      </c>
      <c r="B34" s="10" t="n">
        <v>10</v>
      </c>
      <c r="C34" s="11" t="s">
        <v>84</v>
      </c>
      <c r="D34" s="6" t="s">
        <v>97</v>
      </c>
    </row>
    <row r="35" customFormat="false" ht="15" hidden="false" customHeight="false" outlineLevel="0" collapsed="false">
      <c r="A35" s="9" t="s">
        <v>98</v>
      </c>
      <c r="B35" s="10" t="n">
        <v>30</v>
      </c>
      <c r="C35" s="11" t="s">
        <v>84</v>
      </c>
    </row>
    <row r="37" customFormat="false" ht="15" hidden="false" customHeight="false" outlineLevel="0" collapsed="false">
      <c r="A37" s="7" t="s">
        <v>99</v>
      </c>
      <c r="B37" s="8"/>
      <c r="C37" s="8"/>
      <c r="D37" s="8"/>
      <c r="E37" s="8"/>
      <c r="F37" s="8"/>
      <c r="G37" s="8"/>
      <c r="H37" s="8"/>
      <c r="I37" s="8"/>
    </row>
    <row r="38" customFormat="false" ht="15" hidden="false" customHeight="false" outlineLevel="0" collapsed="false">
      <c r="A38" s="9" t="s">
        <v>100</v>
      </c>
      <c r="B38" s="14" t="n">
        <v>0</v>
      </c>
      <c r="C38" s="11" t="s">
        <v>101</v>
      </c>
      <c r="D38" s="6" t="s">
        <v>102</v>
      </c>
    </row>
    <row r="39" customFormat="false" ht="15" hidden="false" customHeight="false" outlineLevel="0" collapsed="false">
      <c r="A39" s="9" t="s">
        <v>103</v>
      </c>
      <c r="B39" s="15" t="n">
        <v>1</v>
      </c>
      <c r="C39" s="11" t="s">
        <v>49</v>
      </c>
      <c r="D39" s="2" t="s">
        <v>104</v>
      </c>
    </row>
    <row r="40" customFormat="false" ht="15" hidden="false" customHeight="false" outlineLevel="0" collapsed="false">
      <c r="A40" s="11" t="s">
        <v>105</v>
      </c>
      <c r="B40" s="16" t="n">
        <v>0.9959</v>
      </c>
      <c r="C40" s="11" t="s">
        <v>49</v>
      </c>
      <c r="D40" s="2" t="s">
        <v>106</v>
      </c>
    </row>
    <row r="41" customFormat="false" ht="15" hidden="false" customHeight="false" outlineLevel="0" collapsed="false">
      <c r="A41" s="11" t="s">
        <v>107</v>
      </c>
      <c r="B41" s="10" t="n">
        <v>2.72</v>
      </c>
      <c r="C41" s="11" t="s">
        <v>49</v>
      </c>
      <c r="D41" s="6" t="s">
        <v>108</v>
      </c>
    </row>
    <row r="43" customFormat="false" ht="15" hidden="false" customHeight="false" outlineLevel="0" collapsed="false">
      <c r="A43" s="7" t="s">
        <v>109</v>
      </c>
      <c r="B43" s="8"/>
      <c r="C43" s="8"/>
      <c r="D43" s="8"/>
      <c r="E43" s="8"/>
      <c r="F43" s="8"/>
      <c r="G43" s="8"/>
      <c r="H43" s="8"/>
      <c r="I43" s="8"/>
    </row>
    <row r="44" customFormat="false" ht="15" hidden="false" customHeight="false" outlineLevel="0" collapsed="false">
      <c r="A44" s="9" t="s">
        <v>110</v>
      </c>
      <c r="B44" s="10" t="n">
        <v>54</v>
      </c>
      <c r="C44" s="11" t="s">
        <v>111</v>
      </c>
      <c r="D44" s="6" t="s">
        <v>112</v>
      </c>
    </row>
    <row r="45" customFormat="false" ht="15" hidden="false" customHeight="false" outlineLevel="0" collapsed="false">
      <c r="A45" s="11" t="s">
        <v>113</v>
      </c>
      <c r="B45" s="14" t="n">
        <v>5000</v>
      </c>
      <c r="C45" s="11" t="s">
        <v>114</v>
      </c>
      <c r="D45" s="2" t="s">
        <v>115</v>
      </c>
    </row>
    <row r="46" customFormat="false" ht="15" hidden="false" customHeight="false" outlineLevel="0" collapsed="false">
      <c r="A46" s="9" t="s">
        <v>116</v>
      </c>
      <c r="B46" s="14" t="n">
        <v>420</v>
      </c>
      <c r="C46" s="11" t="s">
        <v>114</v>
      </c>
      <c r="D46" s="6" t="s">
        <v>117</v>
      </c>
    </row>
    <row r="47" customFormat="false" ht="15" hidden="false" customHeight="false" outlineLevel="0" collapsed="false">
      <c r="A47" s="9" t="s">
        <v>118</v>
      </c>
      <c r="B47" s="10" t="n">
        <v>3</v>
      </c>
      <c r="C47" s="11" t="s">
        <v>49</v>
      </c>
      <c r="D47" s="2" t="s">
        <v>119</v>
      </c>
    </row>
    <row r="49" customFormat="false" ht="15" hidden="false" customHeight="false" outlineLevel="0" collapsed="false">
      <c r="A49" s="6" t="s">
        <v>120</v>
      </c>
    </row>
    <row r="50" customFormat="false" ht="15" hidden="false" customHeight="false" outlineLevel="0" collapsed="false">
      <c r="A50" s="6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4"/>
    <col collapsed="false" customWidth="true" hidden="false" outlineLevel="0" max="12" min="12" style="0" width="70"/>
  </cols>
  <sheetData>
    <row r="1" customFormat="false" ht="19.4" hidden="false" customHeight="false" outlineLevel="0" collapsed="false">
      <c r="A1" s="1" t="s">
        <v>122</v>
      </c>
    </row>
    <row r="2" customFormat="false" ht="15" hidden="false" customHeight="false" outlineLevel="0" collapsed="false">
      <c r="A2" s="6" t="s">
        <v>123</v>
      </c>
    </row>
    <row r="4" customFormat="false" ht="15" hidden="false" customHeight="false" outlineLevel="0" collapsed="false">
      <c r="A4" s="17" t="s">
        <v>124</v>
      </c>
      <c r="B4" s="17" t="s">
        <v>125</v>
      </c>
      <c r="C4" s="17" t="s">
        <v>126</v>
      </c>
      <c r="D4" s="17" t="s">
        <v>127</v>
      </c>
      <c r="E4" s="17" t="s">
        <v>128</v>
      </c>
      <c r="F4" s="17" t="s">
        <v>129</v>
      </c>
      <c r="G4" s="17" t="s">
        <v>130</v>
      </c>
      <c r="H4" s="17" t="s">
        <v>131</v>
      </c>
      <c r="I4" s="17" t="s">
        <v>132</v>
      </c>
      <c r="J4" s="17" t="s">
        <v>133</v>
      </c>
      <c r="K4" s="17" t="s">
        <v>134</v>
      </c>
      <c r="L4" s="17" t="s">
        <v>135</v>
      </c>
    </row>
    <row r="5" customFormat="false" ht="15" hidden="false" customHeight="false" outlineLevel="0" collapsed="false">
      <c r="A5" s="18" t="n">
        <v>-5</v>
      </c>
      <c r="B5" s="13" t="n">
        <f aca="false">22064000*EXP(647.096/($A$5+273.15)*(-7.85951783*(1-($A$5+273.15)/647.096)+1.84408259*(1-($A$5+273.15)/647.096)^1.5-11.7866497*(1-($A$5+273.15)/647.096)^3+22.6807411*(1-($A$5+273.15)/647.096)^3.5-15.9618719*(1-($A$5+273.15)/647.096)^4+1.80122502*(1-($A$5+273.15)/647.096)^7.5))</f>
        <v>421.811155144184</v>
      </c>
      <c r="C5" s="13" t="n">
        <f aca="false">0.000001*(75.188632-565.620467/(($A$5+273.15)/100)+601.464888/(($A$5+273.15)/100)^2-2018.286032/(($A$5+273.15)/100)^3)*1000000</f>
        <v>-156.774419566868</v>
      </c>
      <c r="D5" s="19" t="n">
        <f aca="false">0.000001*(-236.26407+204871.53/($A$5+273.15)-59999434/($A$5+273.15)^2)*1000000</f>
        <v>-306.678838027655</v>
      </c>
      <c r="E5" s="20" t="n">
        <f aca="false">0.000001*(19202.081-20032490/($A$5+273.15)+7075968700/($A$5+273.15)^2-870743060000/($A$5+273.15)^3)*1000000</f>
        <v>-2256.50572536263</v>
      </c>
      <c r="F5" s="21" t="n">
        <f aca="false">1+0.000001*(75.188632-565.620467/(($A$5+273.15)/100)+601.464888/(($A$5+273.15)/100)^2-2018.286032/(($A$5+273.15)/100)^3)*101325/(8.31446261815324*($A$5+273.15))</f>
        <v>0.992875082703189</v>
      </c>
      <c r="G5" s="21" t="n">
        <f aca="false">1+0.000001*(75.188632-565.620467/(($A$5+273.15)/100)+601.464888/(($A$5+273.15)/100)^2-2018.286032/(($A$5+273.15)/100)^3)*300000/(8.31446261815324*($A$5+273.15))</f>
        <v>0.978904760039049</v>
      </c>
      <c r="H5" s="22" t="n">
        <f aca="false">(20.823075+0.059235957*($A$5+273.15)-0.00000051159127*($A$5+273.15)^2-0.000000048979736*($A$5+273.15)^3-($A$5+273.15)*0.0000000001*(-1131.240934/(($A$5+273.15)/100)^3+3608.789328/(($A$5+273.15)/100)^4-24219.432384/(($A$5+273.15)/100)^5)*101325)</f>
        <v>36.1704337810513</v>
      </c>
      <c r="I5" s="23" t="n">
        <f aca="false">((20.823075+0.059235957*($A$5+273.15)-0.00000051159127*($A$5+273.15)^2-0.000000048979736*($A$5+273.15)^3-($A$5+273.15)*0.0000000001*(-1131.240934/(($A$5+273.15)/100)^3+3608.789328/(($A$5+273.15)/100)^4-24219.432384/(($A$5+273.15)/100)^5)*101325))/(((20.823075+0.059235957*($A$5+273.15)-0.00000051159127*($A$5+273.15)^2-0.000000048979736*($A$5+273.15)^3)-8.31446261815324-($A$5+273.15)*8.31446261815324*(2*0.00000001*(565.620467/(($A$5+273.15)/100)^2-1202.929776/(($A$5+273.15)/100)^3+6054.858096/(($A$5+273.15)/100)^4)+($A$5+273.15)*0.0000000001*(-1131.240934/(($A$5+273.15)/100)^3+3608.789328/(($A$5+273.15)/100)^4-24219.432384/(($A$5+273.15)/100)^5))*(101325/((1+0.000001*(75.188632-565.620467/(($A$5+273.15)/100)+601.464888/(($A$5+273.15)/100)^2-2018.286032/(($A$5+273.15)/100)^3)*101325/(8.31446261815324*($A$5+273.15)))*8.31446261815324*($A$5+273.15)))))</f>
        <v>1.31114439888315</v>
      </c>
      <c r="J5" s="22" t="n">
        <f aca="false">0.00000100697*SQRT(($A$5+273.15))/EXP(0.235156-0.491266*LN(($A$5+273.15)/251.196)+0.05211155*LN(($A$5+273.15)/251.196)^2+0.05347906*LN(($A$5+273.15)/251.196)^3-0.01537102*LN(($A$5+273.15)/251.196)^4)*1000000</f>
        <v>13.4558267902329</v>
      </c>
      <c r="K5" s="22" t="n">
        <f aca="false">0.001*(-2.8088692+0.053424539*($A$5+273.15)+0.000038923913*($A$5+273.15)^2)*1000</f>
        <v>14.3157224185552</v>
      </c>
      <c r="L5" s="22" t="n">
        <f aca="false">((($A$5+273.15)*0.00000001*(565.620467/(($A$5+273.15)/100)^2-1202.929776/(($A$5+273.15)/100)^3+6054.858096/(($A$5+273.15)/100)^4))-(0.000001*(75.188632-565.620467/(($A$5+273.15)/100)+601.464888/(($A$5+273.15)/100)^2-2018.286032/(($A$5+273.15)/100)^3)))/(20.823075+0.059235957*($A$5+273.15)-0.00000051159127*($A$5+273.15)^2-0.000000048979736*($A$5+273.15)^3)*100000</f>
        <v>1.43996625704436</v>
      </c>
    </row>
    <row r="6" customFormat="false" ht="15" hidden="false" customHeight="false" outlineLevel="0" collapsed="false">
      <c r="A6" s="18" t="n">
        <v>-2.5</v>
      </c>
      <c r="B6" s="13" t="n">
        <f aca="false">22064000*EXP(647.096/($A$6+273.15)*(-7.85951783*(1-($A$6+273.15)/647.096)+1.84408259*(1-($A$6+273.15)/647.096)^1.5-11.7866497*(1-($A$6+273.15)/647.096)^3+22.6807411*(1-($A$6+273.15)/647.096)^3.5-15.9618719*(1-($A$6+273.15)/647.096)^4+1.80122502*(1-($A$6+273.15)/647.096)^7.5))</f>
        <v>508.732312864714</v>
      </c>
      <c r="C6" s="13" t="n">
        <f aca="false">0.000001*(75.188632-565.620467/(($A$6+273.15)/100)+601.464888/(($A$6+273.15)/100)^2-2018.286032/(($A$6+273.15)/100)^3)*1000000</f>
        <v>-153.490204079659</v>
      </c>
      <c r="D6" s="19" t="n">
        <f aca="false">0.000001*(-236.26407+204871.53/($A$6+273.15)-59999434/($A$6+273.15)^2)*1000000</f>
        <v>-298.391933871859</v>
      </c>
      <c r="E6" s="20" t="n">
        <f aca="false">0.000001*(19202.081-20032490/($A$6+273.15)+7075968700/($A$6+273.15)^2-870743060000/($A$6+273.15)^3)*1000000</f>
        <v>-2136.12350508376</v>
      </c>
      <c r="F6" s="21" t="n">
        <f aca="false">1+0.000001*(75.188632-565.620467/(($A$6+273.15)/100)+601.464888/(($A$6+273.15)/100)^2-2018.286032/(($A$6+273.15)/100)^3)*101325/(8.31446261815324*($A$6+273.15))</f>
        <v>0.993088774562757</v>
      </c>
      <c r="G6" s="21" t="n">
        <f aca="false">1+0.000001*(75.188632-565.620467/(($A$6+273.15)/100)+601.464888/(($A$6+273.15)/100)^2-2018.286032/(($A$6+273.15)/100)^3)*300000/(8.31446261815324*($A$6+273.15))</f>
        <v>0.979537452443396</v>
      </c>
      <c r="H6" s="22" t="n">
        <f aca="false">(20.823075+0.059235957*($A$6+273.15)-0.00000051159127*($A$6+273.15)^2-0.000000048979736*($A$6+273.15)^3-($A$6+273.15)*0.0000000001*(-1131.240934/(($A$6+273.15)/100)^3+3608.789328/(($A$6+273.15)/100)^4-24219.432384/(($A$6+273.15)/100)^5)*101325)</f>
        <v>36.2761533997264</v>
      </c>
      <c r="I6" s="23" t="n">
        <f aca="false">((20.823075+0.059235957*($A$6+273.15)-0.00000051159127*($A$6+273.15)^2-0.000000048979736*($A$6+273.15)^3-($A$6+273.15)*0.0000000001*(-1131.240934/(($A$6+273.15)/100)^3+3608.789328/(($A$6+273.15)/100)^4-24219.432384/(($A$6+273.15)/100)^5)*101325))/(((20.823075+0.059235957*($A$6+273.15)-0.00000051159127*($A$6+273.15)^2-0.000000048979736*($A$6+273.15)^3)-8.31446261815324-($A$6+273.15)*8.31446261815324*(2*0.00000001*(565.620467/(($A$6+273.15)/100)^2-1202.929776/(($A$6+273.15)/100)^3+6054.858096/(($A$6+273.15)/100)^4)+($A$6+273.15)*0.0000000001*(-1131.240934/(($A$6+273.15)/100)^3+3608.789328/(($A$6+273.15)/100)^4-24219.432384/(($A$6+273.15)/100)^5))*(101325/((1+0.000001*(75.188632-565.620467/(($A$6+273.15)/100)+601.464888/(($A$6+273.15)/100)^2-2018.286032/(($A$6+273.15)/100)^3)*101325/(8.31446261815324*($A$6+273.15)))*8.31446261815324*($A$6+273.15)))))</f>
        <v>1.30957720827429</v>
      </c>
      <c r="J6" s="22" t="n">
        <f aca="false">0.00000100697*SQRT(($A$6+273.15))/EXP(0.235156-0.491266*LN(($A$6+273.15)/251.196)+0.05211155*LN(($A$6+273.15)/251.196)^2+0.05347906*LN(($A$6+273.15)/251.196)^3-0.01537102*LN(($A$6+273.15)/251.196)^4)*1000000</f>
        <v>13.5791614324648</v>
      </c>
      <c r="K6" s="22" t="n">
        <f aca="false">0.001*(-2.8088692+0.053424539*($A$6+273.15)+0.000038923913*($A$6+273.15)^2)*1000</f>
        <v>14.5017142768662</v>
      </c>
      <c r="L6" s="22" t="n">
        <f aca="false">((($A$6+273.15)*0.00000001*(565.620467/(($A$6+273.15)/100)^2-1202.929776/(($A$6+273.15)/100)^3+6054.858096/(($A$6+273.15)/100)^4))-(0.000001*(75.188632-565.620467/(($A$6+273.15)/100)+601.464888/(($A$6+273.15)/100)^2-2018.286032/(($A$6+273.15)/100)^3)))/(20.823075+0.059235957*($A$6+273.15)-0.00000051159127*($A$6+273.15)^2-0.000000048979736*($A$6+273.15)^3)*100000</f>
        <v>1.40504862705974</v>
      </c>
    </row>
    <row r="7" customFormat="false" ht="15" hidden="false" customHeight="false" outlineLevel="0" collapsed="false">
      <c r="A7" s="18" t="n">
        <v>0</v>
      </c>
      <c r="B7" s="13" t="n">
        <f aca="false">22064000*EXP(647.096/($A$7+273.15)*(-7.85951783*(1-($A$7+273.15)/647.096)+1.84408259*(1-($A$7+273.15)/647.096)^1.5-11.7866497*(1-($A$7+273.15)/647.096)^3+22.6807411*(1-($A$7+273.15)/647.096)^3.5-15.9618719*(1-($A$7+273.15)/647.096)^4+1.80122502*(1-($A$7+273.15)/647.096)^7.5))</f>
        <v>611.212845939855</v>
      </c>
      <c r="C7" s="13" t="n">
        <f aca="false">0.000001*(75.188632-565.620467/(($A$7+273.15)/100)+601.464888/(($A$7+273.15)/100)^2-2018.286032/(($A$7+273.15)/100)^3)*1000000</f>
        <v>-150.303868150485</v>
      </c>
      <c r="D7" s="19" t="n">
        <f aca="false">0.000001*(-236.26407+204871.53/($A$7+273.15)-59999434/($A$7+273.15)^2)*1000000</f>
        <v>-290.395227277944</v>
      </c>
      <c r="E7" s="20" t="n">
        <f aca="false">0.000001*(19202.081-20032490/($A$7+273.15)+7075968700/($A$7+273.15)^2-870743060000/($A$7+273.15)^3)*1000000</f>
        <v>-2023.89207955144</v>
      </c>
      <c r="F7" s="21" t="n">
        <f aca="false">1+0.000001*(75.188632-565.620467/(($A$7+273.15)/100)+601.464888/(($A$7+273.15)/100)^2-2018.286032/(($A$7+273.15)/100)^3)*101325/(8.31446261815324*($A$7+273.15))</f>
        <v>0.993294187901495</v>
      </c>
      <c r="G7" s="21" t="n">
        <f aca="false">1+0.000001*(75.188632-565.620467/(($A$7+273.15)/100)+601.464888/(($A$7+273.15)/100)^2-2018.286032/(($A$7+273.15)/100)^3)*300000/(8.31446261815324*($A$7+273.15))</f>
        <v>0.980145634053278</v>
      </c>
      <c r="H7" s="22" t="n">
        <f aca="false">(20.823075+0.059235957*($A$7+273.15)-0.00000051159127*($A$7+273.15)^2-0.000000048979736*($A$7+273.15)^3-($A$7+273.15)*0.0000000001*(-1131.240934/(($A$7+273.15)/100)^3+3608.789328/(($A$7+273.15)/100)^4-24219.432384/(($A$7+273.15)/100)^5)*101325)</f>
        <v>36.3820414239773</v>
      </c>
      <c r="I7" s="23" t="n">
        <f aca="false">((20.823075+0.059235957*($A$7+273.15)-0.00000051159127*($A$7+273.15)^2-0.000000048979736*($A$7+273.15)^3-($A$7+273.15)*0.0000000001*(-1131.240934/(($A$7+273.15)/100)^3+3608.789328/(($A$7+273.15)/100)^4-24219.432384/(($A$7+273.15)/100)^5)*101325))/(((20.823075+0.059235957*($A$7+273.15)-0.00000051159127*($A$7+273.15)^2-0.000000048979736*($A$7+273.15)^3)-8.31446261815324-($A$7+273.15)*8.31446261815324*(2*0.00000001*(565.620467/(($A$7+273.15)/100)^2-1202.929776/(($A$7+273.15)/100)^3+6054.858096/(($A$7+273.15)/100)^4)+($A$7+273.15)*0.0000000001*(-1131.240934/(($A$7+273.15)/100)^3+3608.789328/(($A$7+273.15)/100)^4-24219.432384/(($A$7+273.15)/100)^5))*(101325/((1+0.000001*(75.188632-565.620467/(($A$7+273.15)/100)+601.464888/(($A$7+273.15)/100)^2-2018.286032/(($A$7+273.15)/100)^3)*101325/(8.31446261815324*($A$7+273.15)))*8.31446261815324*($A$7+273.15)))))</f>
        <v>1.30803686389496</v>
      </c>
      <c r="J7" s="22" t="n">
        <f aca="false">0.00000100697*SQRT(($A$7+273.15))/EXP(0.235156-0.491266*LN(($A$7+273.15)/251.196)+0.05211155*LN(($A$7+273.15)/251.196)^2+0.05347906*LN(($A$7+273.15)/251.196)^3-0.01537102*LN(($A$7+273.15)/251.196)^4)*1000000</f>
        <v>13.7023290061876</v>
      </c>
      <c r="K7" s="22" t="n">
        <f aca="false">0.001*(-2.8088692+0.053424539*($A$7+273.15)+0.000038923913*($A$7+273.15)^2)*1000</f>
        <v>14.6881926840897</v>
      </c>
      <c r="L7" s="22" t="n">
        <f aca="false">((($A$7+273.15)*0.00000001*(565.620467/(($A$7+273.15)/100)^2-1202.929776/(($A$7+273.15)/100)^3+6054.858096/(($A$7+273.15)/100)^4))-(0.000001*(75.188632-565.620467/(($A$7+273.15)/100)+601.464888/(($A$7+273.15)/100)^2-2018.286032/(($A$7+273.15)/100)^3)))/(20.823075+0.059235957*($A$7+273.15)-0.00000051159127*($A$7+273.15)^2-0.000000048979736*($A$7+273.15)^3)*100000</f>
        <v>1.3713917243142</v>
      </c>
    </row>
    <row r="8" customFormat="false" ht="15" hidden="false" customHeight="false" outlineLevel="0" collapsed="false">
      <c r="A8" s="18" t="n">
        <v>2.5</v>
      </c>
      <c r="B8" s="13" t="n">
        <f aca="false">22064000*EXP(647.096/($A$8+273.15)*(-7.85951783*(1-($A$8+273.15)/647.096)+1.84408259*(1-($A$8+273.15)/647.096)^1.5-11.7866497*(1-($A$8+273.15)/647.096)^3+22.6807411*(1-($A$8+273.15)/647.096)^3.5-15.9618719*(1-($A$8+273.15)/647.096)^4+1.80122502*(1-($A$8+273.15)/647.096)^7.5))</f>
        <v>731.601244525429</v>
      </c>
      <c r="C8" s="13" t="n">
        <f aca="false">0.000001*(75.188632-565.620467/(($A$8+273.15)/100)+601.464888/(($A$8+273.15)/100)^2-2018.286032/(($A$8+273.15)/100)^3)*1000000</f>
        <v>-147.211274787788</v>
      </c>
      <c r="D8" s="19" t="n">
        <f aca="false">0.000001*(-236.26407+204871.53/($A$8+273.15)-59999434/($A$8+273.15)^2)*1000000</f>
        <v>-282.677088076529</v>
      </c>
      <c r="E8" s="20" t="n">
        <f aca="false">0.000001*(19202.081-20032490/($A$8+273.15)+7075968700/($A$8+273.15)^2-870743060000/($A$8+273.15)^3)*1000000</f>
        <v>-1919.23272455483</v>
      </c>
      <c r="F8" s="21" t="n">
        <f aca="false">1+0.000001*(75.188632-565.620467/(($A$8+273.15)/100)+601.464888/(($A$8+273.15)/100)^2-2018.286032/(($A$8+273.15)/100)^3)*101325/(8.31446261815324*($A$8+273.15))</f>
        <v>0.99349173086289</v>
      </c>
      <c r="G8" s="21" t="n">
        <f aca="false">1+0.000001*(75.188632-565.620467/(($A$8+273.15)/100)+601.464888/(($A$8+273.15)/100)^2-2018.286032/(($A$8+273.15)/100)^3)*300000/(8.31446261815324*($A$8+273.15))</f>
        <v>0.980730513287608</v>
      </c>
      <c r="H8" s="22" t="n">
        <f aca="false">(20.823075+0.059235957*($A$8+273.15)-0.00000051159127*($A$8+273.15)^2-0.000000048979736*($A$8+273.15)^3-($A$8+273.15)*0.0000000001*(-1131.240934/(($A$8+273.15)/100)^3+3608.789328/(($A$8+273.15)/100)^4-24219.432384/(($A$8+273.15)/100)^5)*101325)</f>
        <v>36.4880569504577</v>
      </c>
      <c r="I8" s="23" t="n">
        <f aca="false">((20.823075+0.059235957*($A$8+273.15)-0.00000051159127*($A$8+273.15)^2-0.000000048979736*($A$8+273.15)^3-($A$8+273.15)*0.0000000001*(-1131.240934/(($A$8+273.15)/100)^3+3608.789328/(($A$8+273.15)/100)^4-24219.432384/(($A$8+273.15)/100)^5)*101325))/(((20.823075+0.059235957*($A$8+273.15)-0.00000051159127*($A$8+273.15)^2-0.000000048979736*($A$8+273.15)^3)-8.31446261815324-($A$8+273.15)*8.31446261815324*(2*0.00000001*(565.620467/(($A$8+273.15)/100)^2-1202.929776/(($A$8+273.15)/100)^3+6054.858096/(($A$8+273.15)/100)^4)+($A$8+273.15)*0.0000000001*(-1131.240934/(($A$8+273.15)/100)^3+3608.789328/(($A$8+273.15)/100)^4-24219.432384/(($A$8+273.15)/100)^5))*(101325/((1+0.000001*(75.188632-565.620467/(($A$8+273.15)/100)+601.464888/(($A$8+273.15)/100)^2-2018.286032/(($A$8+273.15)/100)^3)*101325/(8.31446261815324*($A$8+273.15)))*8.31446261815324*($A$8+273.15)))))</f>
        <v>1.30652263425879</v>
      </c>
      <c r="J8" s="22" t="n">
        <f aca="false">0.00000100697*SQRT(($A$8+273.15))/EXP(0.235156-0.491266*LN(($A$8+273.15)/251.196)+0.05211155*LN(($A$8+273.15)/251.196)^2+0.05347906*LN(($A$8+273.15)/251.196)^3-0.01537102*LN(($A$8+273.15)/251.196)^4)*1000000</f>
        <v>13.8253266823526</v>
      </c>
      <c r="K8" s="22" t="n">
        <f aca="false">0.001*(-2.8088692+0.053424539*($A$8+273.15)+0.000038923913*($A$8+273.15)^2)*1000</f>
        <v>14.8751576402257</v>
      </c>
      <c r="L8" s="22" t="n">
        <f aca="false">((($A$8+273.15)*0.00000001*(565.620467/(($A$8+273.15)/100)^2-1202.929776/(($A$8+273.15)/100)^3+6054.858096/(($A$8+273.15)/100)^4))-(0.000001*(75.188632-565.620467/(($A$8+273.15)/100)+601.464888/(($A$8+273.15)/100)^2-2018.286032/(($A$8+273.15)/100)^3)))/(20.823075+0.059235957*($A$8+273.15)-0.00000051159127*($A$8+273.15)^2-0.000000048979736*($A$8+273.15)^3)*100000</f>
        <v>1.33893702356625</v>
      </c>
    </row>
    <row r="9" customFormat="false" ht="15" hidden="false" customHeight="false" outlineLevel="0" collapsed="false">
      <c r="A9" s="18" t="n">
        <v>5</v>
      </c>
      <c r="B9" s="13" t="n">
        <f aca="false">22064000*EXP(647.096/($A$9+273.15)*(-7.85951783*(1-($A$9+273.15)/647.096)+1.84408259*(1-($A$9+273.15)/647.096)^1.5-11.7866497*(1-($A$9+273.15)/647.096)^3+22.6807411*(1-($A$9+273.15)/647.096)^3.5-15.9618719*(1-($A$9+273.15)/647.096)^4+1.80122502*(1-($A$9+273.15)/647.096)^7.5))</f>
        <v>872.530222045737</v>
      </c>
      <c r="C9" s="13" t="n">
        <f aca="false">0.000001*(75.188632-565.620467/(($A$9+273.15)/100)+601.464888/(($A$9+273.15)/100)^2-2018.286032/(($A$9+273.15)/100)^3)*1000000</f>
        <v>-144.208504334114</v>
      </c>
      <c r="D9" s="19" t="n">
        <f aca="false">0.000001*(-236.26407+204871.53/($A$9+273.15)-59999434/($A$9+273.15)^2)*1000000</f>
        <v>-275.226437274159</v>
      </c>
      <c r="E9" s="20" t="n">
        <f aca="false">0.000001*(19202.081-20032490/($A$9+273.15)+7075968700/($A$9+273.15)^2-870743060000/($A$9+273.15)^3)*1000000</f>
        <v>-1821.6071817894</v>
      </c>
      <c r="F9" s="21" t="n">
        <f aca="false">1+0.000001*(75.188632-565.620467/(($A$9+273.15)/100)+601.464888/(($A$9+273.15)/100)^2-2018.286032/(($A$9+273.15)/100)^3)*101325/(8.31446261815324*($A$9+273.15))</f>
        <v>0.99368178739486</v>
      </c>
      <c r="G9" s="21" t="n">
        <f aca="false">1+0.000001*(75.188632-565.620467/(($A$9+273.15)/100)+601.464888/(($A$9+273.15)/100)^2-2018.286032/(($A$9+273.15)/100)^3)*300000/(8.31446261815324*($A$9+273.15))</f>
        <v>0.981293226927787</v>
      </c>
      <c r="H9" s="22" t="n">
        <f aca="false">(20.823075+0.059235957*($A$9+273.15)-0.00000051159127*($A$9+273.15)^2-0.000000048979736*($A$9+273.15)^3-($A$9+273.15)*0.0000000001*(-1131.240934/(($A$9+273.15)/100)^3+3608.789328/(($A$9+273.15)/100)^4-24219.432384/(($A$9+273.15)/100)^5)*101325)</f>
        <v>36.5941613526993</v>
      </c>
      <c r="I9" s="23" t="n">
        <f aca="false">((20.823075+0.059235957*($A$9+273.15)-0.00000051159127*($A$9+273.15)^2-0.000000048979736*($A$9+273.15)^3-($A$9+273.15)*0.0000000001*(-1131.240934/(($A$9+273.15)/100)^3+3608.789328/(($A$9+273.15)/100)^4-24219.432384/(($A$9+273.15)/100)^5)*101325))/(((20.823075+0.059235957*($A$9+273.15)-0.00000051159127*($A$9+273.15)^2-0.000000048979736*($A$9+273.15)^3)-8.31446261815324-($A$9+273.15)*8.31446261815324*(2*0.00000001*(565.620467/(($A$9+273.15)/100)^2-1202.929776/(($A$9+273.15)/100)^3+6054.858096/(($A$9+273.15)/100)^4)+($A$9+273.15)*0.0000000001*(-1131.240934/(($A$9+273.15)/100)^3+3608.789328/(($A$9+273.15)/100)^4-24219.432384/(($A$9+273.15)/100)^5))*(101325/((1+0.000001*(75.188632-565.620467/(($A$9+273.15)/100)+601.464888/(($A$9+273.15)/100)^2-2018.286032/(($A$9+273.15)/100)^3)*101325/(8.31446261815324*($A$9+273.15)))*8.31446261815324*($A$9+273.15)))))</f>
        <v>1.30503382102524</v>
      </c>
      <c r="J9" s="22" t="n">
        <f aca="false">0.00000100697*SQRT(($A$9+273.15))/EXP(0.235156-0.491266*LN(($A$9+273.15)/251.196)+0.05211155*LN(($A$9+273.15)/251.196)^2+0.05347906*LN(($A$9+273.15)/251.196)^3-0.01537102*LN(($A$9+273.15)/251.196)^4)*1000000</f>
        <v>13.9481517375584</v>
      </c>
      <c r="K9" s="22" t="n">
        <f aca="false">0.001*(-2.8088692+0.053424539*($A$9+273.15)+0.000038923913*($A$9+273.15)^2)*1000</f>
        <v>15.0626091452742</v>
      </c>
      <c r="L9" s="22" t="n">
        <f aca="false">((($A$9+273.15)*0.00000001*(565.620467/(($A$9+273.15)/100)^2-1202.929776/(($A$9+273.15)/100)^3+6054.858096/(($A$9+273.15)/100)^4))-(0.000001*(75.188632-565.620467/(($A$9+273.15)/100)+601.464888/(($A$9+273.15)/100)^2-2018.286032/(($A$9+273.15)/100)^3)))/(20.823075+0.059235957*($A$9+273.15)-0.00000051159127*($A$9+273.15)^2-0.000000048979736*($A$9+273.15)^3)*100000</f>
        <v>1.30762925576436</v>
      </c>
    </row>
    <row r="10" customFormat="false" ht="15" hidden="false" customHeight="false" outlineLevel="0" collapsed="false">
      <c r="A10" s="18" t="n">
        <v>7.5</v>
      </c>
      <c r="B10" s="13" t="n">
        <f aca="false">22064000*EXP(647.096/($A$10+273.15)*(-7.85951783*(1-($A$10+273.15)/647.096)+1.84408259*(1-($A$10+273.15)/647.096)^1.5-11.7866497*(1-($A$10+273.15)/647.096)^3+22.6807411*(1-($A$10+273.15)/647.096)^3.5-15.9618719*(1-($A$10+273.15)/647.096)^4+1.80122502*(1-($A$10+273.15)/647.096)^7.5))</f>
        <v>1036.94157345459</v>
      </c>
      <c r="C10" s="13" t="n">
        <f aca="false">0.000001*(75.188632-565.620467/(($A$10+273.15)/100)+601.464888/(($A$10+273.15)/100)^2-2018.286032/(($A$10+273.15)/100)^3)*1000000</f>
        <v>-141.291841053945</v>
      </c>
      <c r="D10" s="19" t="n">
        <f aca="false">0.000001*(-236.26407+204871.53/($A$10+273.15)-59999434/($A$10+273.15)^2)*1000000</f>
        <v>-268.032716631035</v>
      </c>
      <c r="E10" s="20" t="n">
        <f aca="false">0.000001*(19202.081-20032490/($A$10+273.15)+7075968700/($A$10+273.15)^2-870743060000/($A$10+273.15)^3)*1000000</f>
        <v>-1730.51468498912</v>
      </c>
      <c r="F10" s="21" t="n">
        <f aca="false">1+0.000001*(75.188632-565.620467/(($A$10+273.15)/100)+601.464888/(($A$10+273.15)/100)^2-2018.286032/(($A$10+273.15)/100)^3)*101325/(8.31446261815324*($A$10+273.15))</f>
        <v>0.993864718909805</v>
      </c>
      <c r="G10" s="21" t="n">
        <f aca="false">1+0.000001*(75.188632-565.620467/(($A$10+273.15)/100)+601.464888/(($A$10+273.15)/100)^2-2018.286032/(($A$10+273.15)/100)^3)*300000/(8.31446261815324*($A$10+273.15))</f>
        <v>0.981834845032731</v>
      </c>
      <c r="H10" s="22" t="n">
        <f aca="false">(20.823075+0.059235957*($A$10+273.15)-0.00000051159127*($A$10+273.15)^2-0.000000048979736*($A$10+273.15)^3-($A$10+273.15)*0.0000000001*(-1131.240934/(($A$10+273.15)/100)^3+3608.789328/(($A$10+273.15)/100)^4-24219.432384/(($A$10+273.15)/100)^5)*101325)</f>
        <v>36.700318119375</v>
      </c>
      <c r="I10" s="23" t="n">
        <f aca="false">((20.823075+0.059235957*($A$10+273.15)-0.00000051159127*($A$10+273.15)^2-0.000000048979736*($A$10+273.15)^3-($A$10+273.15)*0.0000000001*(-1131.240934/(($A$10+273.15)/100)^3+3608.789328/(($A$10+273.15)/100)^4-24219.432384/(($A$10+273.15)/100)^5)*101325))/(((20.823075+0.059235957*($A$10+273.15)-0.00000051159127*($A$10+273.15)^2-0.000000048979736*($A$10+273.15)^3)-8.31446261815324-($A$10+273.15)*8.31446261815324*(2*0.00000001*(565.620467/(($A$10+273.15)/100)^2-1202.929776/(($A$10+273.15)/100)^3+6054.858096/(($A$10+273.15)/100)^4)+($A$10+273.15)*0.0000000001*(-1131.240934/(($A$10+273.15)/100)^3+3608.789328/(($A$10+273.15)/100)^4-24219.432384/(($A$10+273.15)/100)^5))*(101325/((1+0.000001*(75.188632-565.620467/(($A$10+273.15)/100)+601.464888/(($A$10+273.15)/100)^2-2018.286032/(($A$10+273.15)/100)^3)*101325/(8.31446261815324*($A$10+273.15)))*8.31446261815324*($A$10+273.15)))))</f>
        <v>1.30356975710654</v>
      </c>
      <c r="J10" s="22" t="n">
        <f aca="false">0.00000100697*SQRT(($A$10+273.15))/EXP(0.235156-0.491266*LN(($A$10+273.15)/251.196)+0.05211155*LN(($A$10+273.15)/251.196)^2+0.05347906*LN(($A$10+273.15)/251.196)^3-0.01537102*LN(($A$10+273.15)/251.196)^4)*1000000</f>
        <v>14.0708015507509</v>
      </c>
      <c r="K10" s="22" t="n">
        <f aca="false">0.001*(-2.8088692+0.053424539*($A$10+273.15)+0.000038923913*($A$10+273.15)^2)*1000</f>
        <v>15.2505471992352</v>
      </c>
      <c r="L10" s="22" t="n">
        <f aca="false">((($A$10+273.15)*0.00000001*(565.620467/(($A$10+273.15)/100)^2-1202.929776/(($A$10+273.15)/100)^3+6054.858096/(($A$10+273.15)/100)^4))-(0.000001*(75.188632-565.620467/(($A$10+273.15)/100)+601.464888/(($A$10+273.15)/100)^2-2018.286032/(($A$10+273.15)/100)^3)))/(20.823075+0.059235957*($A$10+273.15)-0.00000051159127*($A$10+273.15)^2-0.000000048979736*($A$10+273.15)^3)*100000</f>
        <v>1.27741619901943</v>
      </c>
    </row>
    <row r="11" customFormat="false" ht="15" hidden="false" customHeight="false" outlineLevel="0" collapsed="false">
      <c r="A11" s="18" t="n">
        <v>10</v>
      </c>
      <c r="B11" s="13" t="n">
        <f aca="false">22064000*EXP(647.096/($A$11+273.15)*(-7.85951783*(1-($A$11+273.15)/647.096)+1.84408259*(1-($A$11+273.15)/647.096)^1.5-11.7866497*(1-($A$11+273.15)/647.096)^3+22.6807411*(1-($A$11+273.15)/647.096)^3.5-15.9618719*(1-($A$11+273.15)/647.096)^4+1.80122502*(1-($A$11+273.15)/647.096)^7.5))</f>
        <v>1228.11215089361</v>
      </c>
      <c r="C11" s="13" t="n">
        <f aca="false">0.000001*(75.188632-565.620467/(($A$11+273.15)/100)+601.464888/(($A$11+273.15)/100)^2-2018.286032/(($A$11+273.15)/100)^3)*1000000</f>
        <v>-138.45776066466</v>
      </c>
      <c r="D11" s="19" t="n">
        <f aca="false">0.000001*(-236.26407+204871.53/($A$11+273.15)-59999434/($A$11+273.15)^2)*1000000</f>
        <v>-261.085860158764</v>
      </c>
      <c r="E11" s="20" t="n">
        <f aca="false">0.000001*(19202.081-20032490/($A$11+273.15)+7075968700/($A$11+273.15)^2-870743060000/($A$11+273.15)^3)*1000000</f>
        <v>-1645.48922092135</v>
      </c>
      <c r="F11" s="21" t="n">
        <f aca="false">1+0.000001*(75.188632-565.620467/(($A$11+273.15)/100)+601.464888/(($A$11+273.15)/100)^2-2018.286032/(($A$11+273.15)/100)^3)*101325/(8.31446261815324*($A$11+273.15))</f>
        <v>0.99404086581612</v>
      </c>
      <c r="G11" s="21" t="n">
        <f aca="false">1+0.000001*(75.188632-565.620467/(($A$11+273.15)/100)+601.464888/(($A$11+273.15)/100)^2-2018.286032/(($A$11+273.15)/100)^3)*300000/(8.31446261815324*($A$11+273.15))</f>
        <v>0.982356375473338</v>
      </c>
      <c r="H11" s="22" t="n">
        <f aca="false">(20.823075+0.059235957*($A$11+273.15)-0.00000051159127*($A$11+273.15)^2-0.000000048979736*($A$11+273.15)^3-($A$11+273.15)*0.0000000001*(-1131.240934/(($A$11+273.15)/100)^3+3608.789328/(($A$11+273.15)/100)^4-24219.432384/(($A$11+273.15)/100)^5)*101325)</f>
        <v>36.8064927053632</v>
      </c>
      <c r="I11" s="23" t="n">
        <f aca="false">((20.823075+0.059235957*($A$11+273.15)-0.00000051159127*($A$11+273.15)^2-0.000000048979736*($A$11+273.15)^3-($A$11+273.15)*0.0000000001*(-1131.240934/(($A$11+273.15)/100)^3+3608.789328/(($A$11+273.15)/100)^4-24219.432384/(($A$11+273.15)/100)^5)*101325))/(((20.823075+0.059235957*($A$11+273.15)-0.00000051159127*($A$11+273.15)^2-0.000000048979736*($A$11+273.15)^3)-8.31446261815324-($A$11+273.15)*8.31446261815324*(2*0.00000001*(565.620467/(($A$11+273.15)/100)^2-1202.929776/(($A$11+273.15)/100)^3+6054.858096/(($A$11+273.15)/100)^4)+($A$11+273.15)*0.0000000001*(-1131.240934/(($A$11+273.15)/100)^3+3608.789328/(($A$11+273.15)/100)^4-24219.432384/(($A$11+273.15)/100)^5))*(101325/((1+0.000001*(75.188632-565.620467/(($A$11+273.15)/100)+601.464888/(($A$11+273.15)/100)^2-2018.286032/(($A$11+273.15)/100)^3)*101325/(8.31446261815324*($A$11+273.15)))*8.31446261815324*($A$11+273.15)))))</f>
        <v>1.30212980489656</v>
      </c>
      <c r="J11" s="22" t="n">
        <f aca="false">0.00000100697*SQRT(($A$11+273.15))/EXP(0.235156-0.491266*LN(($A$11+273.15)/251.196)+0.05211155*LN(($A$11+273.15)/251.196)^2+0.05347906*LN(($A$11+273.15)/251.196)^3-0.01537102*LN(($A$11+273.15)/251.196)^4)*1000000</f>
        <v>14.1932736000412</v>
      </c>
      <c r="K11" s="22" t="n">
        <f aca="false">0.001*(-2.8088692+0.053424539*($A$11+273.15)+0.000038923913*($A$11+273.15)^2)*1000</f>
        <v>15.4389718021087</v>
      </c>
      <c r="L11" s="22" t="n">
        <f aca="false">((($A$11+273.15)*0.00000001*(565.620467/(($A$11+273.15)/100)^2-1202.929776/(($A$11+273.15)/100)^3+6054.858096/(($A$11+273.15)/100)^4))-(0.000001*(75.188632-565.620467/(($A$11+273.15)/100)+601.464888/(($A$11+273.15)/100)^2-2018.286032/(($A$11+273.15)/100)^3)))/(20.823075+0.059235957*($A$11+273.15)-0.00000051159127*($A$11+273.15)^2-0.000000048979736*($A$11+273.15)^3)*100000</f>
        <v>1.24824848470647</v>
      </c>
    </row>
    <row r="12" customFormat="false" ht="15" hidden="false" customHeight="false" outlineLevel="0" collapsed="false">
      <c r="A12" s="18" t="n">
        <v>12.5</v>
      </c>
      <c r="B12" s="13" t="n">
        <f aca="false">22064000*EXP(647.096/($A$12+273.15)*(-7.85951783*(1-($A$12+273.15)/647.096)+1.84408259*(1-($A$12+273.15)/647.096)^1.5-11.7866497*(1-($A$12+273.15)/647.096)^3+22.6807411*(1-($A$12+273.15)/647.096)^3.5-15.9618719*(1-($A$12+273.15)/647.096)^4+1.80122502*(1-($A$12+273.15)/647.096)^7.5))</f>
        <v>1449.68091346603</v>
      </c>
      <c r="C12" s="13" t="n">
        <f aca="false">0.000001*(75.188632-565.620467/(($A$12+273.15)/100)+601.464888/(($A$12+273.15)/100)^2-2018.286032/(($A$12+273.15)/100)^3)*1000000</f>
        <v>-135.702918736506</v>
      </c>
      <c r="D12" s="19" t="n">
        <f aca="false">0.000001*(-236.26407+204871.53/($A$12+273.15)-59999434/($A$12+273.15)^2)*1000000</f>
        <v>-254.376267401776</v>
      </c>
      <c r="E12" s="20" t="n">
        <f aca="false">0.000001*(19202.081-20032490/($A$12+273.15)+7075968700/($A$12+273.15)^2-870743060000/($A$12+273.15)^3)*1000000</f>
        <v>-1566.09700520924</v>
      </c>
      <c r="F12" s="21" t="n">
        <f aca="false">1+0.000001*(75.188632-565.620467/(($A$12+273.15)/100)+601.464888/(($A$12+273.15)/100)^2-2018.286032/(($A$12+273.15)/100)^3)*101325/(8.31446261815324*($A$12+273.15))</f>
        <v>0.994210548932221</v>
      </c>
      <c r="G12" s="21" t="n">
        <f aca="false">1+0.000001*(75.188632-565.620467/(($A$12+273.15)/100)+601.464888/(($A$12+273.15)/100)^2-2018.286032/(($A$12+273.15)/100)^3)*300000/(8.31446261815324*($A$12+273.15))</f>
        <v>0.982858768119085</v>
      </c>
      <c r="H12" s="22" t="n">
        <f aca="false">(20.823075+0.059235957*($A$12+273.15)-0.00000051159127*($A$12+273.15)^2-0.000000048979736*($A$12+273.15)^3-($A$12+273.15)*0.0000000001*(-1131.240934/(($A$12+273.15)/100)^3+3608.789328/(($A$12+273.15)/100)^4-24219.432384/(($A$12+273.15)/100)^5)*101325)</f>
        <v>36.912652394498</v>
      </c>
      <c r="I12" s="23" t="n">
        <f aca="false">((20.823075+0.059235957*($A$12+273.15)-0.00000051159127*($A$12+273.15)^2-0.000000048979736*($A$12+273.15)^3-($A$12+273.15)*0.0000000001*(-1131.240934/(($A$12+273.15)/100)^3+3608.789328/(($A$12+273.15)/100)^4-24219.432384/(($A$12+273.15)/100)^5)*101325))/(((20.823075+0.059235957*($A$12+273.15)-0.00000051159127*($A$12+273.15)^2-0.000000048979736*($A$12+273.15)^3)-8.31446261815324-($A$12+273.15)*8.31446261815324*(2*0.00000001*(565.620467/(($A$12+273.15)/100)^2-1202.929776/(($A$12+273.15)/100)^3+6054.858096/(($A$12+273.15)/100)^4)+($A$12+273.15)*0.0000000001*(-1131.240934/(($A$12+273.15)/100)^3+3608.789328/(($A$12+273.15)/100)^4-24219.432384/(($A$12+273.15)/100)^5))*(101325/((1+0.000001*(75.188632-565.620467/(($A$12+273.15)/100)+601.464888/(($A$12+273.15)/100)^2-2018.286032/(($A$12+273.15)/100)^3)*101325/(8.31446261815324*($A$12+273.15)))*8.31446261815324*($A$12+273.15)))))</f>
        <v>1.30071335461356</v>
      </c>
      <c r="J12" s="22" t="n">
        <f aca="false">0.00000100697*SQRT(($A$12+273.15))/EXP(0.235156-0.491266*LN(($A$12+273.15)/251.196)+0.05211155*LN(($A$12+273.15)/251.196)^2+0.05347906*LN(($A$12+273.15)/251.196)^3-0.01537102*LN(($A$12+273.15)/251.196)^4)*1000000</f>
        <v>14.3155654596356</v>
      </c>
      <c r="K12" s="22" t="n">
        <f aca="false">0.001*(-2.8088692+0.053424539*($A$12+273.15)+0.000038923913*($A$12+273.15)^2)*1000</f>
        <v>15.6278829538947</v>
      </c>
      <c r="L12" s="22" t="n">
        <f aca="false">((($A$12+273.15)*0.00000001*(565.620467/(($A$12+273.15)/100)^2-1202.929776/(($A$12+273.15)/100)^3+6054.858096/(($A$12+273.15)/100)^4))-(0.000001*(75.188632-565.620467/(($A$12+273.15)/100)+601.464888/(($A$12+273.15)/100)^2-2018.286032/(($A$12+273.15)/100)^3)))/(20.823075+0.059235957*($A$12+273.15)-0.00000051159127*($A$12+273.15)^2-0.000000048979736*($A$12+273.15)^3)*100000</f>
        <v>1.22007941748013</v>
      </c>
    </row>
    <row r="13" customFormat="false" ht="15" hidden="false" customHeight="false" outlineLevel="0" collapsed="false">
      <c r="A13" s="18" t="n">
        <v>15</v>
      </c>
      <c r="B13" s="13" t="n">
        <f aca="false">22064000*EXP(647.096/($A$13+273.15)*(-7.85951783*(1-($A$13+273.15)/647.096)+1.84408259*(1-($A$13+273.15)/647.096)^1.5-11.7866497*(1-($A$13+273.15)/647.096)^3+22.6807411*(1-($A$13+273.15)/647.096)^3.5-15.9618719*(1-($A$13+273.15)/647.096)^4+1.80122502*(1-($A$13+273.15)/647.096)^7.5))</f>
        <v>1705.67700036817</v>
      </c>
      <c r="C13" s="13" t="n">
        <f aca="false">0.000001*(75.188632-565.620467/(($A$13+273.15)/100)+601.464888/(($A$13+273.15)/100)^2-2018.286032/(($A$13+273.15)/100)^3)*1000000</f>
        <v>-133.024139893886</v>
      </c>
      <c r="D13" s="19" t="n">
        <f aca="false">0.000001*(-236.26407+204871.53/($A$13+273.15)-59999434/($A$13+273.15)^2)*1000000</f>
        <v>-247.8947783768</v>
      </c>
      <c r="E13" s="20" t="n">
        <f aca="false">0.000001*(19202.081-20032490/($A$13+273.15)+7075968700/($A$13+273.15)^2-870743060000/($A$13+273.15)^3)*1000000</f>
        <v>-1491.93415478979</v>
      </c>
      <c r="F13" s="21" t="n">
        <f aca="false">1+0.000001*(75.188632-565.620467/(($A$13+273.15)/100)+601.464888/(($A$13+273.15)/100)^2-2018.286032/(($A$13+273.15)/100)^3)*101325/(8.31446261815324*($A$13+273.15))</f>
        <v>0.994374070793063</v>
      </c>
      <c r="G13" s="21" t="n">
        <f aca="false">1+0.000001*(75.188632-565.620467/(($A$13+273.15)/100)+601.464888/(($A$13+273.15)/100)^2-2018.286032/(($A$13+273.15)/100)^3)*300000/(8.31446261815324*($A$13+273.15))</f>
        <v>0.983342918706329</v>
      </c>
      <c r="H13" s="22" t="n">
        <f aca="false">(20.823075+0.059235957*($A$13+273.15)-0.00000051159127*($A$13+273.15)^2-0.000000048979736*($A$13+273.15)^3-($A$13+273.15)*0.0000000001*(-1131.240934/(($A$13+273.15)/100)^3+3608.789328/(($A$13+273.15)/100)^4-24219.432384/(($A$13+273.15)/100)^5)*101325)</f>
        <v>37.0187661729962</v>
      </c>
      <c r="I13" s="23" t="n">
        <f aca="false">((20.823075+0.059235957*($A$13+273.15)-0.00000051159127*($A$13+273.15)^2-0.000000048979736*($A$13+273.15)^3-($A$13+273.15)*0.0000000001*(-1131.240934/(($A$13+273.15)/100)^3+3608.789328/(($A$13+273.15)/100)^4-24219.432384/(($A$13+273.15)/100)^5)*101325))/(((20.823075+0.059235957*($A$13+273.15)-0.00000051159127*($A$13+273.15)^2-0.000000048979736*($A$13+273.15)^3)-8.31446261815324-($A$13+273.15)*8.31446261815324*(2*0.00000001*(565.620467/(($A$13+273.15)/100)^2-1202.929776/(($A$13+273.15)/100)^3+6054.858096/(($A$13+273.15)/100)^4)+($A$13+273.15)*0.0000000001*(-1131.240934/(($A$13+273.15)/100)^3+3608.789328/(($A$13+273.15)/100)^4-24219.432384/(($A$13+273.15)/100)^5))*(101325/((1+0.000001*(75.188632-565.620467/(($A$13+273.15)/100)+601.464888/(($A$13+273.15)/100)^2-2018.286032/(($A$13+273.15)/100)^3)*101325/(8.31446261815324*($A$13+273.15)))*8.31446261815324*($A$13+273.15)))))</f>
        <v>1.29931982274928</v>
      </c>
      <c r="J13" s="22" t="n">
        <f aca="false">0.00000100697*SQRT(($A$13+273.15))/EXP(0.235156-0.491266*LN(($A$13+273.15)/251.196)+0.05211155*LN(($A$13+273.15)/251.196)^2+0.05347906*LN(($A$13+273.15)/251.196)^3-0.01537102*LN(($A$13+273.15)/251.196)^4)*1000000</f>
        <v>14.4376747968725</v>
      </c>
      <c r="K13" s="22" t="n">
        <f aca="false">0.001*(-2.8088692+0.053424539*($A$13+273.15)+0.000038923913*($A$13+273.15)^2)*1000</f>
        <v>15.8172806545932</v>
      </c>
      <c r="L13" s="22" t="n">
        <f aca="false">((($A$13+273.15)*0.00000001*(565.620467/(($A$13+273.15)/100)^2-1202.929776/(($A$13+273.15)/100)^3+6054.858096/(($A$13+273.15)/100)^4))-(0.000001*(75.188632-565.620467/(($A$13+273.15)/100)+601.464888/(($A$13+273.15)/100)^2-2018.286032/(($A$13+273.15)/100)^3)))/(20.823075+0.059235957*($A$13+273.15)-0.00000051159127*($A$13+273.15)^2-0.000000048979736*($A$13+273.15)^3)*100000</f>
        <v>1.19286480809572</v>
      </c>
    </row>
    <row r="14" customFormat="false" ht="15" hidden="false" customHeight="false" outlineLevel="0" collapsed="false">
      <c r="A14" s="18" t="n">
        <v>17.5</v>
      </c>
      <c r="B14" s="13" t="n">
        <f aca="false">22064000*EXP(647.096/($A$14+273.15)*(-7.85951783*(1-($A$14+273.15)/647.096)+1.84408259*(1-($A$14+273.15)/647.096)^1.5-11.7866497*(1-($A$14+273.15)/647.096)^3+22.6807411*(1-($A$14+273.15)/647.096)^3.5-15.9618719*(1-($A$14+273.15)/647.096)^4+1.80122502*(1-($A$14+273.15)/647.096)^7.5))</f>
        <v>2000.54876946397</v>
      </c>
      <c r="C14" s="13" t="n">
        <f aca="false">0.000001*(75.188632-565.620467/(($A$14+273.15)/100)+601.464888/(($A$14+273.15)/100)^2-2018.286032/(($A$14+273.15)/100)^3)*1000000</f>
        <v>-130.418407756093</v>
      </c>
      <c r="D14" s="19" t="n">
        <f aca="false">0.000001*(-236.26407+204871.53/($A$14+273.15)-59999434/($A$14+273.15)^2)*1000000</f>
        <v>-241.632650054629</v>
      </c>
      <c r="E14" s="20" t="n">
        <f aca="false">0.000001*(19202.081-20032490/($A$14+273.15)+7075968700/($A$14+273.15)^2-870743060000/($A$14+273.15)^3)*1000000</f>
        <v>-1422.6245404779</v>
      </c>
      <c r="F14" s="21" t="n">
        <f aca="false">1+0.000001*(75.188632-565.620467/(($A$14+273.15)/100)+601.464888/(($A$14+273.15)/100)^2-2018.286032/(($A$14+273.15)/100)^3)*101325/(8.31446261815324*($A$14+273.15))</f>
        <v>0.994531716858231</v>
      </c>
      <c r="G14" s="21" t="n">
        <f aca="false">1+0.000001*(75.188632-565.620467/(($A$14+273.15)/100)+601.464888/(($A$14+273.15)/100)^2-2018.286032/(($A$14+273.15)/100)^3)*300000/(8.31446261815324*($A$14+273.15))</f>
        <v>0.983809672415192</v>
      </c>
      <c r="H14" s="22" t="n">
        <f aca="false">(20.823075+0.059235957*($A$14+273.15)-0.00000051159127*($A$14+273.15)^2-0.000000048979736*($A$14+273.15)^3-($A$14+273.15)*0.0000000001*(-1131.240934/(($A$14+273.15)/100)^3+3608.789328/(($A$14+273.15)/100)^4-24219.432384/(($A$14+273.15)/100)^5)*101325)</f>
        <v>37.1248046126482</v>
      </c>
      <c r="I14" s="23" t="n">
        <f aca="false">((20.823075+0.059235957*($A$14+273.15)-0.00000051159127*($A$14+273.15)^2-0.000000048979736*($A$14+273.15)^3-($A$14+273.15)*0.0000000001*(-1131.240934/(($A$14+273.15)/100)^3+3608.789328/(($A$14+273.15)/100)^4-24219.432384/(($A$14+273.15)/100)^5)*101325))/(((20.823075+0.059235957*($A$14+273.15)-0.00000051159127*($A$14+273.15)^2-0.000000048979736*($A$14+273.15)^3)-8.31446261815324-($A$14+273.15)*8.31446261815324*(2*0.00000001*(565.620467/(($A$14+273.15)/100)^2-1202.929776/(($A$14+273.15)/100)^3+6054.858096/(($A$14+273.15)/100)^4)+($A$14+273.15)*0.0000000001*(-1131.240934/(($A$14+273.15)/100)^3+3608.789328/(($A$14+273.15)/100)^4-24219.432384/(($A$14+273.15)/100)^5))*(101325/((1+0.000001*(75.188632-565.620467/(($A$14+273.15)/100)+601.464888/(($A$14+273.15)/100)^2-2018.286032/(($A$14+273.15)/100)^3)*101325/(8.31446261815324*($A$14+273.15)))*8.31446261815324*($A$14+273.15)))))</f>
        <v>1.29794865061728</v>
      </c>
      <c r="J14" s="22" t="n">
        <f aca="false">0.00000100697*SQRT(($A$14+273.15))/EXP(0.235156-0.491266*LN(($A$14+273.15)/251.196)+0.05211155*LN(($A$14+273.15)/251.196)^2+0.05347906*LN(($A$14+273.15)/251.196)^3-0.01537102*LN(($A$14+273.15)/251.196)^4)*1000000</f>
        <v>14.5595993693626</v>
      </c>
      <c r="K14" s="22" t="n">
        <f aca="false">0.001*(-2.8088692+0.053424539*($A$14+273.15)+0.000038923913*($A$14+273.15)^2)*1000</f>
        <v>16.0071649042042</v>
      </c>
      <c r="L14" s="22" t="n">
        <f aca="false">((($A$14+273.15)*0.00000001*(565.620467/(($A$14+273.15)/100)^2-1202.929776/(($A$14+273.15)/100)^3+6054.858096/(($A$14+273.15)/100)^4))-(0.000001*(75.188632-565.620467/(($A$14+273.15)/100)+601.464888/(($A$14+273.15)/100)^2-2018.286032/(($A$14+273.15)/100)^3)))/(20.823075+0.059235957*($A$14+273.15)-0.00000051159127*($A$14+273.15)^2-0.000000048979736*($A$14+273.15)^3)*100000</f>
        <v>1.16656281802463</v>
      </c>
    </row>
    <row r="15" customFormat="false" ht="15" hidden="false" customHeight="false" outlineLevel="0" collapsed="false">
      <c r="A15" s="18" t="n">
        <v>20</v>
      </c>
      <c r="B15" s="13" t="n">
        <f aca="false">22064000*EXP(647.096/($A$15+273.15)*(-7.85951783*(1-($A$15+273.15)/647.096)+1.84408259*(1-($A$15+273.15)/647.096)^1.5-11.7866497*(1-($A$15+273.15)/647.096)^3+22.6807411*(1-($A$15+273.15)/647.096)^3.5-15.9618719*(1-($A$15+273.15)/647.096)^4+1.80122502*(1-($A$15+273.15)/647.096)^7.5))</f>
        <v>2339.19373662275</v>
      </c>
      <c r="C15" s="13" t="n">
        <f aca="false">0.000001*(75.188632-565.620467/(($A$15+273.15)/100)+601.464888/(($A$15+273.15)/100)^2-2018.286032/(($A$15+273.15)/100)^3)*1000000</f>
        <v>-127.882855560866</v>
      </c>
      <c r="D15" s="19" t="n">
        <f aca="false">0.000001*(-236.26407+204871.53/($A$15+273.15)-59999434/($A$15+273.15)^2)*1000000</f>
        <v>-235.58153427736</v>
      </c>
      <c r="E15" s="20" t="n">
        <f aca="false">0.000001*(19202.081-20032490/($A$15+273.15)+7075968700/($A$15+273.15)^2-870743060000/($A$15+273.15)^3)*1000000</f>
        <v>-1357.81780460492</v>
      </c>
      <c r="F15" s="21" t="n">
        <f aca="false">1+0.000001*(75.188632-565.620467/(($A$15+273.15)/100)+601.464888/(($A$15+273.15)/100)^2-2018.286032/(($A$15+273.15)/100)^3)*101325/(8.31446261815324*($A$15+273.15))</f>
        <v>0.994683756629832</v>
      </c>
      <c r="G15" s="21" t="n">
        <f aca="false">1+0.000001*(75.188632-565.620467/(($A$15+273.15)/100)+601.464888/(($A$15+273.15)/100)^2-2018.286032/(($A$15+273.15)/100)^3)*300000/(8.31446261815324*($A$15+273.15))</f>
        <v>0.984259827179368</v>
      </c>
      <c r="H15" s="22" t="n">
        <f aca="false">(20.823075+0.059235957*($A$15+273.15)-0.00000051159127*($A$15+273.15)^2-0.000000048979736*($A$15+273.15)^3-($A$15+273.15)*0.0000000001*(-1131.240934/(($A$15+273.15)/100)^3+3608.789328/(($A$15+273.15)/100)^4-24219.432384/(($A$15+273.15)/100)^5)*101325)</f>
        <v>37.2307397629418</v>
      </c>
      <c r="I15" s="23" t="n">
        <f aca="false">((20.823075+0.059235957*($A$15+273.15)-0.00000051159127*($A$15+273.15)^2-0.000000048979736*($A$15+273.15)^3-($A$15+273.15)*0.0000000001*(-1131.240934/(($A$15+273.15)/100)^3+3608.789328/(($A$15+273.15)/100)^4-24219.432384/(($A$15+273.15)/100)^5)*101325))/(((20.823075+0.059235957*($A$15+273.15)-0.00000051159127*($A$15+273.15)^2-0.000000048979736*($A$15+273.15)^3)-8.31446261815324-($A$15+273.15)*8.31446261815324*(2*0.00000001*(565.620467/(($A$15+273.15)/100)^2-1202.929776/(($A$15+273.15)/100)^3+6054.858096/(($A$15+273.15)/100)^4)+($A$15+273.15)*0.0000000001*(-1131.240934/(($A$15+273.15)/100)^3+3608.789328/(($A$15+273.15)/100)^4-24219.432384/(($A$15+273.15)/100)^5))*(101325/((1+0.000001*(75.188632-565.620467/(($A$15+273.15)/100)+601.464888/(($A$15+273.15)/100)^2-2018.286032/(($A$15+273.15)/100)^3)*101325/(8.31446261815324*($A$15+273.15)))*8.31446261815324*($A$15+273.15)))))</f>
        <v>1.29659930299373</v>
      </c>
      <c r="J15" s="22" t="n">
        <f aca="false">0.00000100697*SQRT(($A$15+273.15))/EXP(0.235156-0.491266*LN(($A$15+273.15)/251.196)+0.05211155*LN(($A$15+273.15)/251.196)^2+0.05347906*LN(($A$15+273.15)/251.196)^3-0.01537102*LN(($A$15+273.15)/251.196)^4)*1000000</f>
        <v>14.6813370222267</v>
      </c>
      <c r="K15" s="22" t="n">
        <f aca="false">0.001*(-2.8088692+0.053424539*($A$15+273.15)+0.000038923913*($A$15+273.15)^2)*1000</f>
        <v>16.1975357027277</v>
      </c>
      <c r="L15" s="22" t="n">
        <f aca="false">((($A$15+273.15)*0.00000001*(565.620467/(($A$15+273.15)/100)^2-1202.929776/(($A$15+273.15)/100)^3+6054.858096/(($A$15+273.15)/100)^4))-(0.000001*(75.188632-565.620467/(($A$15+273.15)/100)+601.464888/(($A$15+273.15)/100)^2-2018.286032/(($A$15+273.15)/100)^3)))/(20.823075+0.059235957*($A$15+273.15)-0.00000051159127*($A$15+273.15)^2-0.000000048979736*($A$15+273.15)^3)*100000</f>
        <v>1.14113381493997</v>
      </c>
    </row>
    <row r="16" customFormat="false" ht="15" hidden="false" customHeight="false" outlineLevel="0" collapsed="false">
      <c r="A16" s="18" t="n">
        <v>22.5</v>
      </c>
      <c r="B16" s="13" t="n">
        <f aca="false">22064000*EXP(647.096/($A$16+273.15)*(-7.85951783*(1-($A$16+273.15)/647.096)+1.84408259*(1-($A$16+273.15)/647.096)^1.5-11.7866497*(1-($A$16+273.15)/647.096)^3+22.6807411*(1-($A$16+273.15)/647.096)^3.5-15.9618719*(1-($A$16+273.15)/647.096)^4+1.80122502*(1-($A$16+273.15)/647.096)^7.5))</f>
        <v>2726.98934483304</v>
      </c>
      <c r="C16" s="13" t="n">
        <f aca="false">0.000001*(75.188632-565.620467/(($A$16+273.15)/100)+601.464888/(($A$16+273.15)/100)^2-2018.286032/(($A$16+273.15)/100)^3)*1000000</f>
        <v>-125.414757418937</v>
      </c>
      <c r="D16" s="19" t="n">
        <f aca="false">0.000001*(-236.26407+204871.53/($A$16+273.15)-59999434/($A$16+273.15)^2)*1000000</f>
        <v>-229.733457012522</v>
      </c>
      <c r="E16" s="20" t="n">
        <f aca="false">0.000001*(19202.081-20032490/($A$16+273.15)+7075968700/($A$16+273.15)^2-870743060000/($A$16+273.15)^3)*1000000</f>
        <v>-1297.18753005244</v>
      </c>
      <c r="F16" s="21" t="n">
        <f aca="false">1+0.000001*(75.188632-565.620467/(($A$16+273.15)/100)+601.464888/(($A$16+273.15)/100)^2-2018.286032/(($A$16+273.15)/100)^3)*101325/(8.31446261815324*($A$16+273.15))</f>
        <v>0.994830444687651</v>
      </c>
      <c r="G16" s="21" t="n">
        <f aca="false">1+0.000001*(75.188632-565.620467/(($A$16+273.15)/100)+601.464888/(($A$16+273.15)/100)^2-2018.286032/(($A$16+273.15)/100)^3)*300000/(8.31446261815324*($A$16+273.15))</f>
        <v>0.984694136751002</v>
      </c>
      <c r="H16" s="22" t="n">
        <f aca="false">(20.823075+0.059235957*($A$16+273.15)-0.00000051159127*($A$16+273.15)^2-0.000000048979736*($A$16+273.15)^3-($A$16+273.15)*0.0000000001*(-1131.240934/(($A$16+273.15)/100)^3+3608.789328/(($A$16+273.15)/100)^4-24219.432384/(($A$16+273.15)/100)^5)*101325)</f>
        <v>37.3365450513689</v>
      </c>
      <c r="I16" s="23" t="n">
        <f aca="false">((20.823075+0.059235957*($A$16+273.15)-0.00000051159127*($A$16+273.15)^2-0.000000048979736*($A$16+273.15)^3-($A$16+273.15)*0.0000000001*(-1131.240934/(($A$16+273.15)/100)^3+3608.789328/(($A$16+273.15)/100)^4-24219.432384/(($A$16+273.15)/100)^5)*101325))/(((20.823075+0.059235957*($A$16+273.15)-0.00000051159127*($A$16+273.15)^2-0.000000048979736*($A$16+273.15)^3)-8.31446261815324-($A$16+273.15)*8.31446261815324*(2*0.00000001*(565.620467/(($A$16+273.15)/100)^2-1202.929776/(($A$16+273.15)/100)^3+6054.858096/(($A$16+273.15)/100)^4)+($A$16+273.15)*0.0000000001*(-1131.240934/(($A$16+273.15)/100)^3+3608.789328/(($A$16+273.15)/100)^4-24219.432384/(($A$16+273.15)/100)^5))*(101325/((1+0.000001*(75.188632-565.620467/(($A$16+273.15)/100)+601.464888/(($A$16+273.15)/100)^2-2018.286032/(($A$16+273.15)/100)^3)*101325/(8.31446261815324*($A$16+273.15)))*8.31446261815324*($A$16+273.15)))))</f>
        <v>1.29527126684455</v>
      </c>
      <c r="J16" s="22" t="n">
        <f aca="false">0.00000100697*SQRT(($A$16+273.15))/EXP(0.235156-0.491266*LN(($A$16+273.15)/251.196)+0.05211155*LN(($A$16+273.15)/251.196)^2+0.05347906*LN(($A$16+273.15)/251.196)^3-0.01537102*LN(($A$16+273.15)/251.196)^4)*1000000</f>
        <v>14.8028856854291</v>
      </c>
      <c r="K16" s="22" t="n">
        <f aca="false">0.001*(-2.8088692+0.053424539*($A$16+273.15)+0.000038923913*($A$16+273.15)^2)*1000</f>
        <v>16.3883930501637</v>
      </c>
      <c r="L16" s="22" t="n">
        <f aca="false">((($A$16+273.15)*0.00000001*(565.620467/(($A$16+273.15)/100)^2-1202.929776/(($A$16+273.15)/100)^3+6054.858096/(($A$16+273.15)/100)^4))-(0.000001*(75.188632-565.620467/(($A$16+273.15)/100)+601.464888/(($A$16+273.15)/100)^2-2018.286032/(($A$16+273.15)/100)^3)))/(20.823075+0.059235957*($A$16+273.15)-0.00000051159127*($A$16+273.15)^2-0.000000048979736*($A$16+273.15)^3)*100000</f>
        <v>1.11654023822837</v>
      </c>
    </row>
    <row r="17" customFormat="false" ht="15" hidden="false" customHeight="false" outlineLevel="0" collapsed="false">
      <c r="A17" s="18" t="n">
        <v>25</v>
      </c>
      <c r="B17" s="13" t="n">
        <f aca="false">22064000*EXP(647.096/($A$17+273.15)*(-7.85951783*(1-($A$17+273.15)/647.096)+1.84408259*(1-($A$17+273.15)/647.096)^1.5-11.7866497*(1-($A$17+273.15)/647.096)^3+22.6807411*(1-($A$17+273.15)/647.096)^3.5-15.9618719*(1-($A$17+273.15)/647.096)^4+1.80122502*(1-($A$17+273.15)/647.096)^7.5))</f>
        <v>3169.82448631397</v>
      </c>
      <c r="C17" s="13" t="n">
        <f aca="false">0.000001*(75.188632-565.620467/(($A$17+273.15)/100)+601.464888/(($A$17+273.15)/100)^2-2018.286032/(($A$17+273.15)/100)^3)*1000000</f>
        <v>-123.01152015208</v>
      </c>
      <c r="D17" s="19" t="n">
        <f aca="false">0.000001*(-236.26407+204871.53/($A$17+273.15)-59999434/($A$17+273.15)^2)*1000000</f>
        <v>-224.080798853026</v>
      </c>
      <c r="E17" s="20" t="n">
        <f aca="false">0.000001*(19202.081-20032490/($A$17+273.15)+7075968700/($A$17+273.15)^2-870743060000/($A$17+273.15)^3)*1000000</f>
        <v>-1240.42954822436</v>
      </c>
      <c r="F17" s="21" t="n">
        <f aca="false">1+0.000001*(75.188632-565.620467/(($A$17+273.15)/100)+601.464888/(($A$17+273.15)/100)^2-2018.286032/(($A$17+273.15)/100)^3)*101325/(8.31446261815324*($A$17+273.15))</f>
        <v>0.994972021648391</v>
      </c>
      <c r="G17" s="21" t="n">
        <f aca="false">1+0.000001*(75.188632-565.620467/(($A$17+273.15)/100)+601.464888/(($A$17+273.15)/100)^2-2018.286032/(($A$17+273.15)/100)^3)*300000/(8.31446261815324*($A$17+273.15))</f>
        <v>0.985113313540758</v>
      </c>
      <c r="H17" s="22" t="n">
        <f aca="false">(20.823075+0.059235957*($A$17+273.15)-0.00000051159127*($A$17+273.15)^2-0.000000048979736*($A$17+273.15)^3-($A$17+273.15)*0.0000000001*(-1131.240934/(($A$17+273.15)/100)^3+3608.789328/(($A$17+273.15)/100)^4-24219.432384/(($A$17+273.15)/100)^5)*101325)</f>
        <v>37.4421951912309</v>
      </c>
      <c r="I17" s="23" t="n">
        <f aca="false">((20.823075+0.059235957*($A$17+273.15)-0.00000051159127*($A$17+273.15)^2-0.000000048979736*($A$17+273.15)^3-($A$17+273.15)*0.0000000001*(-1131.240934/(($A$17+273.15)/100)^3+3608.789328/(($A$17+273.15)/100)^4-24219.432384/(($A$17+273.15)/100)^5)*101325))/(((20.823075+0.059235957*($A$17+273.15)-0.00000051159127*($A$17+273.15)^2-0.000000048979736*($A$17+273.15)^3)-8.31446261815324-($A$17+273.15)*8.31446261815324*(2*0.00000001*(565.620467/(($A$17+273.15)/100)^2-1202.929776/(($A$17+273.15)/100)^3+6054.858096/(($A$17+273.15)/100)^4)+($A$17+273.15)*0.0000000001*(-1131.240934/(($A$17+273.15)/100)^3+3608.789328/(($A$17+273.15)/100)^4-24219.432384/(($A$17+273.15)/100)^5))*(101325/((1+0.000001*(75.188632-565.620467/(($A$17+273.15)/100)+601.464888/(($A$17+273.15)/100)^2-2018.286032/(($A$17+273.15)/100)^3)*101325/(8.31446261815324*($A$17+273.15)))*8.31446261815324*($A$17+273.15)))))</f>
        <v>1.29396405013308</v>
      </c>
      <c r="J17" s="22" t="n">
        <f aca="false">0.00000100697*SQRT(($A$17+273.15))/EXP(0.235156-0.491266*LN(($A$17+273.15)/251.196)+0.05211155*LN(($A$17+273.15)/251.196)^2+0.05347906*LN(($A$17+273.15)/251.196)^3-0.01537102*LN(($A$17+273.15)/251.196)^4)*1000000</f>
        <v>14.9242433712003</v>
      </c>
      <c r="K17" s="22" t="n">
        <f aca="false">0.001*(-2.8088692+0.053424539*($A$17+273.15)+0.000038923913*($A$17+273.15)^2)*1000</f>
        <v>16.5797369465122</v>
      </c>
      <c r="L17" s="22" t="n">
        <f aca="false">((($A$17+273.15)*0.00000001*(565.620467/(($A$17+273.15)/100)^2-1202.929776/(($A$17+273.15)/100)^3+6054.858096/(($A$17+273.15)/100)^4))-(0.000001*(75.188632-565.620467/(($A$17+273.15)/100)+601.464888/(($A$17+273.15)/100)^2-2018.286032/(($A$17+273.15)/100)^3)))/(20.823075+0.059235957*($A$17+273.15)-0.00000051159127*($A$17+273.15)^2-0.000000048979736*($A$17+273.15)^3)*100000</f>
        <v>1.09274647375535</v>
      </c>
    </row>
    <row r="18" customFormat="false" ht="15" hidden="false" customHeight="false" outlineLevel="0" collapsed="false">
      <c r="A18" s="18" t="n">
        <v>27.5</v>
      </c>
      <c r="B18" s="13" t="n">
        <f aca="false">22064000*EXP(647.096/($A$18+273.15)*(-7.85951783*(1-($A$18+273.15)/647.096)+1.84408259*(1-($A$18+273.15)/647.096)^1.5-11.7866497*(1-($A$18+273.15)/647.096)^3+22.6807411*(1-($A$18+273.15)/647.096)^3.5-15.9618719*(1-($A$18+273.15)/647.096)^4+1.80122502*(1-($A$18+273.15)/647.096)^7.5))</f>
        <v>3674.13169562374</v>
      </c>
      <c r="C18" s="13" t="n">
        <f aca="false">0.000001*(75.188632-565.620467/(($A$18+273.15)/100)+601.464888/(($A$18+273.15)/100)^2-2018.286032/(($A$18+273.15)/100)^3)*1000000</f>
        <v>-120.670675671105</v>
      </c>
      <c r="D18" s="19" t="n">
        <f aca="false">0.000001*(-236.26407+204871.53/($A$18+273.15)-59999434/($A$18+273.15)^2)*1000000</f>
        <v>-218.616276678755</v>
      </c>
      <c r="E18" s="20" t="n">
        <f aca="false">0.000001*(19202.081-20032490/($A$18+273.15)+7075968700/($A$18+273.15)^2-870743060000/($A$18+273.15)^3)*1000000</f>
        <v>-1187.26037460377</v>
      </c>
      <c r="F18" s="21" t="n">
        <f aca="false">1+0.000001*(75.188632-565.620467/(($A$18+273.15)/100)+601.464888/(($A$18+273.15)/100)^2-2018.286032/(($A$18+273.15)/100)^3)*101325/(8.31446261815324*($A$18+273.15))</f>
        <v>0.995108715055159</v>
      </c>
      <c r="G18" s="21" t="n">
        <f aca="false">1+0.000001*(75.188632-565.620467/(($A$18+273.15)/100)+601.464888/(($A$18+273.15)/100)^2-2018.286032/(($A$18+273.15)/100)^3)*300000/(8.31446261815324*($A$18+273.15))</f>
        <v>0.985518031251395</v>
      </c>
      <c r="H18" s="22" t="n">
        <f aca="false">(20.823075+0.059235957*($A$18+273.15)-0.00000051159127*($A$18+273.15)^2-0.000000048979736*($A$18+273.15)^3-($A$18+273.15)*0.0000000001*(-1131.240934/(($A$18+273.15)/100)^3+3608.789328/(($A$18+273.15)/100)^4-24219.432384/(($A$18+273.15)/100)^5)*101325)</f>
        <v>37.5476660963219</v>
      </c>
      <c r="I18" s="23" t="n">
        <f aca="false">((20.823075+0.059235957*($A$18+273.15)-0.00000051159127*($A$18+273.15)^2-0.000000048979736*($A$18+273.15)^3-($A$18+273.15)*0.0000000001*(-1131.240934/(($A$18+273.15)/100)^3+3608.789328/(($A$18+273.15)/100)^4-24219.432384/(($A$18+273.15)/100)^5)*101325))/(((20.823075+0.059235957*($A$18+273.15)-0.00000051159127*($A$18+273.15)^2-0.000000048979736*($A$18+273.15)^3)-8.31446261815324-($A$18+273.15)*8.31446261815324*(2*0.00000001*(565.620467/(($A$18+273.15)/100)^2-1202.929776/(($A$18+273.15)/100)^3+6054.858096/(($A$18+273.15)/100)^4)+($A$18+273.15)*0.0000000001*(-1131.240934/(($A$18+273.15)/100)^3+3608.789328/(($A$18+273.15)/100)^4-24219.432384/(($A$18+273.15)/100)^5))*(101325/((1+0.000001*(75.188632-565.620467/(($A$18+273.15)/100)+601.464888/(($A$18+273.15)/100)^2-2018.286032/(($A$18+273.15)/100)^3)*101325/(8.31446261815324*($A$18+273.15)))*8.31446261815324*($A$18+273.15)))))</f>
        <v>1.29267718070273</v>
      </c>
      <c r="J18" s="22" t="n">
        <f aca="false">0.00000100697*SQRT(($A$18+273.15))/EXP(0.235156-0.491266*LN(($A$18+273.15)/251.196)+0.05211155*LN(($A$18+273.15)/251.196)^2+0.05347906*LN(($A$18+273.15)/251.196)^3-0.01537102*LN(($A$18+273.15)/251.196)^4)*1000000</f>
        <v>15.0454081715468</v>
      </c>
      <c r="K18" s="22" t="n">
        <f aca="false">0.001*(-2.8088692+0.053424539*($A$18+273.15)+0.000038923913*($A$18+273.15)^2)*1000</f>
        <v>16.7715673917732</v>
      </c>
      <c r="L18" s="22" t="n">
        <f aca="false">((($A$18+273.15)*0.00000001*(565.620467/(($A$18+273.15)/100)^2-1202.929776/(($A$18+273.15)/100)^3+6054.858096/(($A$18+273.15)/100)^4))-(0.000001*(75.188632-565.620467/(($A$18+273.15)/100)+601.464888/(($A$18+273.15)/100)^2-2018.286032/(($A$18+273.15)/100)^3)))/(20.823075+0.059235957*($A$18+273.15)-0.00000051159127*($A$18+273.15)^2-0.000000048979736*($A$18+273.15)^3)*100000</f>
        <v>1.06971873717718</v>
      </c>
    </row>
    <row r="19" customFormat="false" ht="15" hidden="false" customHeight="false" outlineLevel="0" collapsed="false">
      <c r="A19" s="18" t="n">
        <v>30</v>
      </c>
      <c r="B19" s="13" t="n">
        <f aca="false">22064000*EXP(647.096/($A$19+273.15)*(-7.85951783*(1-($A$19+273.15)/647.096)+1.84408259*(1-($A$19+273.15)/647.096)^1.5-11.7866497*(1-($A$19+273.15)/647.096)^3+22.6807411*(1-($A$19+273.15)/647.096)^3.5-15.9618719*(1-($A$19+273.15)/647.096)^4+1.80122502*(1-($A$19+273.15)/647.096)^7.5))</f>
        <v>4246.91992715212</v>
      </c>
      <c r="C19" s="13" t="n">
        <f aca="false">0.000001*(75.188632-565.620467/(($A$19+273.15)/100)+601.464888/(($A$19+273.15)/100)^2-2018.286032/(($A$19+273.15)/100)^3)*1000000</f>
        <v>-118.389873853823</v>
      </c>
      <c r="D19" s="19" t="n">
        <f aca="false">0.000001*(-236.26407+204871.53/($A$19+273.15)-59999434/($A$19+273.15)^2)*1000000</f>
        <v>-213.332926401919</v>
      </c>
      <c r="E19" s="20" t="n">
        <f aca="false">0.000001*(19202.081-20032490/($A$19+273.15)+7075968700/($A$19+273.15)^2-870743060000/($A$19+273.15)^3)*1000000</f>
        <v>-1137.41576154115</v>
      </c>
      <c r="F19" s="21" t="n">
        <f aca="false">1+0.000001*(75.188632-565.620467/(($A$19+273.15)/100)+601.464888/(($A$19+273.15)/100)^2-2018.286032/(($A$19+273.15)/100)^3)*101325/(8.31446261815324*($A$19+273.15))</f>
        <v>0.995240740202841</v>
      </c>
      <c r="G19" s="21" t="n">
        <f aca="false">1+0.000001*(75.188632-565.620467/(($A$19+273.15)/100)+601.464888/(($A$19+273.15)/100)^2-2018.286032/(($A$19+273.15)/100)^3)*300000/(8.31446261815324*($A$19+273.15))</f>
        <v>0.985908927321514</v>
      </c>
      <c r="H19" s="22" t="n">
        <f aca="false">(20.823075+0.059235957*($A$19+273.15)-0.00000051159127*($A$19+273.15)^2-0.000000048979736*($A$19+273.15)^3-($A$19+273.15)*0.0000000001*(-1131.240934/(($A$19+273.15)/100)^3+3608.789328/(($A$19+273.15)/100)^4-24219.432384/(($A$19+273.15)/100)^5)*101325)</f>
        <v>37.6529348019245</v>
      </c>
      <c r="I19" s="23" t="n">
        <f aca="false">((20.823075+0.059235957*($A$19+273.15)-0.00000051159127*($A$19+273.15)^2-0.000000048979736*($A$19+273.15)^3-($A$19+273.15)*0.0000000001*(-1131.240934/(($A$19+273.15)/100)^3+3608.789328/(($A$19+273.15)/100)^4-24219.432384/(($A$19+273.15)/100)^5)*101325))/(((20.823075+0.059235957*($A$19+273.15)-0.00000051159127*($A$19+273.15)^2-0.000000048979736*($A$19+273.15)^3)-8.31446261815324-($A$19+273.15)*8.31446261815324*(2*0.00000001*(565.620467/(($A$19+273.15)/100)^2-1202.929776/(($A$19+273.15)/100)^3+6054.858096/(($A$19+273.15)/100)^4)+($A$19+273.15)*0.0000000001*(-1131.240934/(($A$19+273.15)/100)^3+3608.789328/(($A$19+273.15)/100)^4-24219.432384/(($A$19+273.15)/100)^5))*(101325/((1+0.000001*(75.188632-565.620467/(($A$19+273.15)/100)+601.464888/(($A$19+273.15)/100)^2-2018.286032/(($A$19+273.15)/100)^3)*101325/(8.31446261815324*($A$19+273.15)))*8.31446261815324*($A$19+273.15)))))</f>
        <v>1.29141020522962</v>
      </c>
      <c r="J19" s="22" t="n">
        <f aca="false">0.00000100697*SQRT(($A$19+273.15))/EXP(0.235156-0.491266*LN(($A$19+273.15)/251.196)+0.05211155*LN(($A$19+273.15)/251.196)^2+0.05347906*LN(($A$19+273.15)/251.196)^3-0.01537102*LN(($A$19+273.15)/251.196)^4)*1000000</f>
        <v>15.1663782558453</v>
      </c>
      <c r="K19" s="22" t="n">
        <f aca="false">0.001*(-2.8088692+0.053424539*($A$19+273.15)+0.000038923913*($A$19+273.15)^2)*1000</f>
        <v>16.9638843859467</v>
      </c>
      <c r="L19" s="22" t="n">
        <f aca="false">((($A$19+273.15)*0.00000001*(565.620467/(($A$19+273.15)/100)^2-1202.929776/(($A$19+273.15)/100)^3+6054.858096/(($A$19+273.15)/100)^4))-(0.000001*(75.188632-565.620467/(($A$19+273.15)/100)+601.464888/(($A$19+273.15)/100)^2-2018.286032/(($A$19+273.15)/100)^3)))/(20.823075+0.059235957*($A$19+273.15)-0.00000051159127*($A$19+273.15)^2-0.000000048979736*($A$19+273.15)^3)*100000</f>
        <v>1.04742496515141</v>
      </c>
    </row>
    <row r="20" customFormat="false" ht="15" hidden="false" customHeight="false" outlineLevel="0" collapsed="false">
      <c r="A20" s="18" t="n">
        <v>32.5</v>
      </c>
      <c r="B20" s="13" t="n">
        <f aca="false">22064000*EXP(647.096/($A$20+273.15)*(-7.85951783*(1-($A$20+273.15)/647.096)+1.84408259*(1-($A$20+273.15)/647.096)^1.5-11.7866497*(1-($A$20+273.15)/647.096)^3+22.6807411*(1-($A$20+273.15)/647.096)^3.5-15.9618719*(1-($A$20+273.15)/647.096)^4+1.80122502*(1-($A$20+273.15)/647.096)^7.5))</f>
        <v>4895.80782641966</v>
      </c>
      <c r="C20" s="13" t="n">
        <f aca="false">0.000001*(75.188632-565.620467/(($A$20+273.15)/100)+601.464888/(($A$20+273.15)/100)^2-2018.286032/(($A$20+273.15)/100)^3)*1000000</f>
        <v>-116.166875886288</v>
      </c>
      <c r="D20" s="19" t="n">
        <f aca="false">0.000001*(-236.26407+204871.53/($A$20+273.15)-59999434/($A$20+273.15)^2)*1000000</f>
        <v>-208.224086724126</v>
      </c>
      <c r="E20" s="20" t="n">
        <f aca="false">0.000001*(19202.081-20032490/($A$20+273.15)+7075968700/($A$20+273.15)^2-870743060000/($A$20+273.15)^3)*1000000</f>
        <v>-1090.64935882506</v>
      </c>
      <c r="F20" s="21" t="n">
        <f aca="false">1+0.000001*(75.188632-565.620467/(($A$20+273.15)/100)+601.464888/(($A$20+273.15)/100)^2-2018.286032/(($A$20+273.15)/100)^3)*101325/(8.31446261815324*($A$20+273.15))</f>
        <v>0.99536830090451</v>
      </c>
      <c r="G20" s="21" t="n">
        <f aca="false">1+0.000001*(75.188632-565.620467/(($A$20+273.15)/100)+601.464888/(($A$20+273.15)/100)^2-2018.286032/(($A$20+273.15)/100)^3)*300000/(8.31446261815324*($A$20+273.15))</f>
        <v>0.9862866051947</v>
      </c>
      <c r="H20" s="22" t="n">
        <f aca="false">(20.823075+0.059235957*($A$20+273.15)-0.00000051159127*($A$20+273.15)^2-0.000000048979736*($A$20+273.15)^3-($A$20+273.15)*0.0000000001*(-1131.240934/(($A$20+273.15)/100)^3+3608.789328/(($A$20+273.15)/100)^4-24219.432384/(($A$20+273.15)/100)^5)*101325)</f>
        <v>37.7579793916052</v>
      </c>
      <c r="I20" s="23" t="n">
        <f aca="false">((20.823075+0.059235957*($A$20+273.15)-0.00000051159127*($A$20+273.15)^2-0.000000048979736*($A$20+273.15)^3-($A$20+273.15)*0.0000000001*(-1131.240934/(($A$20+273.15)/100)^3+3608.789328/(($A$20+273.15)/100)^4-24219.432384/(($A$20+273.15)/100)^5)*101325))/(((20.823075+0.059235957*($A$20+273.15)-0.00000051159127*($A$20+273.15)^2-0.000000048979736*($A$20+273.15)^3)-8.31446261815324-($A$20+273.15)*8.31446261815324*(2*0.00000001*(565.620467/(($A$20+273.15)/100)^2-1202.929776/(($A$20+273.15)/100)^3+6054.858096/(($A$20+273.15)/100)^4)+($A$20+273.15)*0.0000000001*(-1131.240934/(($A$20+273.15)/100)^3+3608.789328/(($A$20+273.15)/100)^4-24219.432384/(($A$20+273.15)/100)^5))*(101325/((1+0.000001*(75.188632-565.620467/(($A$20+273.15)/100)+601.464888/(($A$20+273.15)/100)^2-2018.286032/(($A$20+273.15)/100)^3)*101325/(8.31446261815324*($A$20+273.15)))*8.31446261815324*($A$20+273.15)))))</f>
        <v>1.29016268824045</v>
      </c>
      <c r="J20" s="22" t="n">
        <f aca="false">0.00000100697*SQRT(($A$20+273.15))/EXP(0.235156-0.491266*LN(($A$20+273.15)/251.196)+0.05211155*LN(($A$20+273.15)/251.196)^2+0.05347906*LN(($A$20+273.15)/251.196)^3-0.01537102*LN(($A$20+273.15)/251.196)^4)*1000000</f>
        <v>15.2871518685149</v>
      </c>
      <c r="K20" s="22" t="n">
        <f aca="false">0.001*(-2.8088692+0.053424539*($A$20+273.15)+0.000038923913*($A$20+273.15)^2)*1000</f>
        <v>17.1566879290327</v>
      </c>
      <c r="L20" s="22" t="n">
        <f aca="false">((($A$20+273.15)*0.00000001*(565.620467/(($A$20+273.15)/100)^2-1202.929776/(($A$20+273.15)/100)^3+6054.858096/(($A$20+273.15)/100)^4))-(0.000001*(75.188632-565.620467/(($A$20+273.15)/100)+601.464888/(($A$20+273.15)/100)^2-2018.286032/(($A$20+273.15)/100)^3)))/(20.823075+0.059235957*($A$20+273.15)-0.00000051159127*($A$20+273.15)^2-0.000000048979736*($A$20+273.15)^3)*100000</f>
        <v>1.02583471385213</v>
      </c>
    </row>
    <row r="21" customFormat="false" ht="15" hidden="false" customHeight="false" outlineLevel="0" collapsed="false">
      <c r="A21" s="18" t="n">
        <v>35</v>
      </c>
      <c r="B21" s="13" t="n">
        <f aca="false">22064000*EXP(647.096/($A$21+273.15)*(-7.85951783*(1-($A$21+273.15)/647.096)+1.84408259*(1-($A$21+273.15)/647.096)^1.5-11.7866497*(1-($A$21+273.15)/647.096)^3+22.6807411*(1-($A$21+273.15)/647.096)^3.5-15.9618719*(1-($A$21+273.15)/647.096)^4+1.80122502*(1-($A$21+273.15)/647.096)^7.5))</f>
        <v>5629.05740131421</v>
      </c>
      <c r="C21" s="13" t="n">
        <f aca="false">0.000001*(75.188632-565.620467/(($A$21+273.15)/100)+601.464888/(($A$21+273.15)/100)^2-2018.286032/(($A$21+273.15)/100)^3)*1000000</f>
        <v>-113.999548033581</v>
      </c>
      <c r="D21" s="19" t="n">
        <f aca="false">0.000001*(-236.26407+204871.53/($A$21+273.15)-59999434/($A$21+273.15)^2)*1000000</f>
        <v>-203.283383838408</v>
      </c>
      <c r="E21" s="20" t="n">
        <f aca="false">0.000001*(19202.081-20032490/($A$21+273.15)+7075968700/($A$21+273.15)^2-870743060000/($A$21+273.15)^3)*1000000</f>
        <v>-1046.73147340552</v>
      </c>
      <c r="F21" s="21" t="n">
        <f aca="false">1+0.000001*(75.188632-565.620467/(($A$21+273.15)/100)+601.464888/(($A$21+273.15)/100)^2-2018.286032/(($A$21+273.15)/100)^3)*101325/(8.31446261815324*($A$21+273.15))</f>
        <v>0.995491590203524</v>
      </c>
      <c r="G21" s="21" t="n">
        <f aca="false">1+0.000001*(75.188632-565.620467/(($A$21+273.15)/100)+601.464888/(($A$21+273.15)/100)^2-2018.286032/(($A$21+273.15)/100)^3)*300000/(8.31446261815324*($A$21+273.15))</f>
        <v>0.986651636427903</v>
      </c>
      <c r="H21" s="22" t="n">
        <f aca="false">(20.823075+0.059235957*($A$21+273.15)-0.00000051159127*($A$21+273.15)^2-0.000000048979736*($A$21+273.15)^3-($A$21+273.15)*0.0000000001*(-1131.240934/(($A$21+273.15)/100)^3+3608.789328/(($A$21+273.15)/100)^4-24219.432384/(($A$21+273.15)/100)^5)*101325)</f>
        <v>37.8627789293388</v>
      </c>
      <c r="I21" s="23" t="n">
        <f aca="false">((20.823075+0.059235957*($A$21+273.15)-0.00000051159127*($A$21+273.15)^2-0.000000048979736*($A$21+273.15)^3-($A$21+273.15)*0.0000000001*(-1131.240934/(($A$21+273.15)/100)^3+3608.789328/(($A$21+273.15)/100)^4-24219.432384/(($A$21+273.15)/100)^5)*101325))/(((20.823075+0.059235957*($A$21+273.15)-0.00000051159127*($A$21+273.15)^2-0.000000048979736*($A$21+273.15)^3)-8.31446261815324-($A$21+273.15)*8.31446261815324*(2*0.00000001*(565.620467/(($A$21+273.15)/100)^2-1202.929776/(($A$21+273.15)/100)^3+6054.858096/(($A$21+273.15)/100)^4)+($A$21+273.15)*0.0000000001*(-1131.240934/(($A$21+273.15)/100)^3+3608.789328/(($A$21+273.15)/100)^4-24219.432384/(($A$21+273.15)/100)^5))*(101325/((1+0.000001*(75.188632-565.620467/(($A$21+273.15)/100)+601.464888/(($A$21+273.15)/100)^2-2018.286032/(($A$21+273.15)/100)^3)*101325/(8.31446261815324*($A$21+273.15)))*8.31446261815324*($A$21+273.15)))))</f>
        <v>1.28893421119129</v>
      </c>
      <c r="J21" s="22" t="n">
        <f aca="false">0.00000100697*SQRT(($A$21+273.15))/EXP(0.235156-0.491266*LN(($A$21+273.15)/251.196)+0.05211155*LN(($A$21+273.15)/251.196)^2+0.05347906*LN(($A$21+273.15)/251.196)^3-0.01537102*LN(($A$21+273.15)/251.196)^4)*1000000</f>
        <v>15.4077273267681</v>
      </c>
      <c r="K21" s="22" t="n">
        <f aca="false">0.001*(-2.8088692+0.053424539*($A$21+273.15)+0.000038923913*($A$21+273.15)^2)*1000</f>
        <v>17.3499780210312</v>
      </c>
      <c r="L21" s="22" t="n">
        <f aca="false">((($A$21+273.15)*0.00000001*(565.620467/(($A$21+273.15)/100)^2-1202.929776/(($A$21+273.15)/100)^3+6054.858096/(($A$21+273.15)/100)^4))-(0.000001*(75.188632-565.620467/(($A$21+273.15)/100)+601.464888/(($A$21+273.15)/100)^2-2018.286032/(($A$21+273.15)/100)^3)))/(20.823075+0.059235957*($A$21+273.15)-0.00000051159127*($A$21+273.15)^2-0.000000048979736*($A$21+273.15)^3)*100000</f>
        <v>1.00491906424503</v>
      </c>
    </row>
    <row r="22" customFormat="false" ht="15" hidden="false" customHeight="false" outlineLevel="0" collapsed="false">
      <c r="A22" s="18" t="n">
        <v>37.5</v>
      </c>
      <c r="B22" s="13" t="n">
        <f aca="false">22064000*EXP(647.096/($A$22+273.15)*(-7.85951783*(1-($A$22+273.15)/647.096)+1.84408259*(1-($A$22+273.15)/647.096)^1.5-11.7866497*(1-($A$22+273.15)/647.096)^3+22.6807411*(1-($A$22+273.15)/647.096)^3.5-15.9618719*(1-($A$22+273.15)/647.096)^4+1.80122502*(1-($A$22+273.15)/647.096)^7.5))</f>
        <v>6455.60799679394</v>
      </c>
      <c r="C22" s="13" t="n">
        <f aca="false">0.000001*(75.188632-565.620467/(($A$22+273.15)/100)+601.464888/(($A$22+273.15)/100)^2-2018.286032/(($A$22+273.15)/100)^3)*1000000</f>
        <v>-111.885855809116</v>
      </c>
      <c r="D22" s="19" t="n">
        <f aca="false">0.000001*(-236.26407+204871.53/($A$22+273.15)-59999434/($A$22+273.15)^2)*1000000</f>
        <v>-198.504717014358</v>
      </c>
      <c r="E22" s="20" t="n">
        <f aca="false">0.000001*(19202.081-20032490/($A$22+273.15)+7075968700/($A$22+273.15)^2-870743060000/($A$22+273.15)^3)*1000000</f>
        <v>-1005.44792038521</v>
      </c>
      <c r="F22" s="21" t="n">
        <f aca="false">1+0.000001*(75.188632-565.620467/(($A$22+273.15)/100)+601.464888/(($A$22+273.15)/100)^2-2018.286032/(($A$22+273.15)/100)^3)*101325/(8.31446261815324*($A$22+273.15))</f>
        <v>0.995610791035622</v>
      </c>
      <c r="G22" s="21" t="n">
        <f aca="false">1+0.000001*(75.188632-565.620467/(($A$22+273.15)/100)+601.464888/(($A$22+273.15)/100)^2-2018.286032/(($A$22+273.15)/100)^3)*300000/(8.31446261815324*($A$22+273.15))</f>
        <v>0.98700456265173</v>
      </c>
      <c r="H22" s="22" t="n">
        <f aca="false">(20.823075+0.059235957*($A$22+273.15)-0.00000051159127*($A$22+273.15)^2-0.000000048979736*($A$22+273.15)^3-($A$22+273.15)*0.0000000001*(-1131.240934/(($A$22+273.15)/100)^3+3608.789328/(($A$22+273.15)/100)^4-24219.432384/(($A$22+273.15)/100)^5)*101325)</f>
        <v>37.9673133965355</v>
      </c>
      <c r="I22" s="23" t="n">
        <f aca="false">((20.823075+0.059235957*($A$22+273.15)-0.00000051159127*($A$22+273.15)^2-0.000000048979736*($A$22+273.15)^3-($A$22+273.15)*0.0000000001*(-1131.240934/(($A$22+273.15)/100)^3+3608.789328/(($A$22+273.15)/100)^4-24219.432384/(($A$22+273.15)/100)^5)*101325))/(((20.823075+0.059235957*($A$22+273.15)-0.00000051159127*($A$22+273.15)^2-0.000000048979736*($A$22+273.15)^3)-8.31446261815324-($A$22+273.15)*8.31446261815324*(2*0.00000001*(565.620467/(($A$22+273.15)/100)^2-1202.929776/(($A$22+273.15)/100)^3+6054.858096/(($A$22+273.15)/100)^4)+($A$22+273.15)*0.0000000001*(-1131.240934/(($A$22+273.15)/100)^3+3608.789328/(($A$22+273.15)/100)^4-24219.432384/(($A$22+273.15)/100)^5))*(101325/((1+0.000001*(75.188632-565.620467/(($A$22+273.15)/100)+601.464888/(($A$22+273.15)/100)^2-2018.286032/(($A$22+273.15)/100)^3)*101325/(8.31446261815324*($A$22+273.15)))*8.31446261815324*($A$22+273.15)))))</f>
        <v>1.28772437160298</v>
      </c>
      <c r="J22" s="22" t="n">
        <f aca="false">0.00000100697*SQRT(($A$22+273.15))/EXP(0.235156-0.491266*LN(($A$22+273.15)/251.196)+0.05211155*LN(($A$22+273.15)/251.196)^2+0.05347906*LN(($A$22+273.15)/251.196)^3-0.01537102*LN(($A$22+273.15)/251.196)^4)*1000000</f>
        <v>15.5281030184343</v>
      </c>
      <c r="K22" s="22" t="n">
        <f aca="false">0.001*(-2.8088692+0.053424539*($A$22+273.15)+0.000038923913*($A$22+273.15)^2)*1000</f>
        <v>17.5437546619422</v>
      </c>
      <c r="L22" s="22" t="n">
        <f aca="false">((($A$22+273.15)*0.00000001*(565.620467/(($A$22+273.15)/100)^2-1202.929776/(($A$22+273.15)/100)^3+6054.858096/(($A$22+273.15)/100)^4))-(0.000001*(75.188632-565.620467/(($A$22+273.15)/100)+601.464888/(($A$22+273.15)/100)^2-2018.286032/(($A$22+273.15)/100)^3)))/(20.823075+0.059235957*($A$22+273.15)-0.00000051159127*($A$22+273.15)^2-0.000000048979736*($A$22+273.15)^3)*100000</f>
        <v>0.984650533622032</v>
      </c>
    </row>
    <row r="23" customFormat="false" ht="15" hidden="false" customHeight="false" outlineLevel="0" collapsed="false">
      <c r="A23" s="18" t="n">
        <v>40</v>
      </c>
      <c r="B23" s="13" t="n">
        <f aca="false">22064000*EXP(647.096/($A$23+273.15)*(-7.85951783*(1-($A$23+273.15)/647.096)+1.84408259*(1-($A$23+273.15)/647.096)^1.5-11.7866497*(1-($A$23+273.15)/647.096)^3+22.6807411*(1-($A$23+273.15)/647.096)^3.5-15.9618719*(1-($A$23+273.15)/647.096)^4+1.80122502*(1-($A$23+273.15)/647.096)^7.5))</f>
        <v>7385.11047468608</v>
      </c>
      <c r="C23" s="13" t="n">
        <f aca="false">0.000001*(75.188632-565.620467/(($A$23+273.15)/100)+601.464888/(($A$23+273.15)/100)^2-2018.286032/(($A$23+273.15)/100)^3)*1000000</f>
        <v>-109.823858513911</v>
      </c>
      <c r="D23" s="19" t="n">
        <f aca="false">0.000001*(-236.26407+204871.53/($A$23+273.15)-59999434/($A$23+273.15)^2)*1000000</f>
        <v>-193.88224500901</v>
      </c>
      <c r="E23" s="20" t="n">
        <f aca="false">0.000001*(19202.081-20032490/($A$23+273.15)+7075968700/($A$23+273.15)^2-870743060000/($A$23+273.15)^3)*1000000</f>
        <v>-966.598958066697</v>
      </c>
      <c r="F23" s="21" t="n">
        <f aca="false">1+0.000001*(75.188632-565.620467/(($A$23+273.15)/100)+601.464888/(($A$23+273.15)/100)^2-2018.286032/(($A$23+273.15)/100)^3)*101325/(8.31446261815324*($A$23+273.15))</f>
        <v>0.995726076844893</v>
      </c>
      <c r="G23" s="21" t="n">
        <f aca="false">1+0.000001*(75.188632-565.620467/(($A$23+273.15)/100)+601.464888/(($A$23+273.15)/100)^2-2018.286032/(($A$23+273.15)/100)^3)*300000/(8.31446261815324*($A$23+273.15))</f>
        <v>0.987345897394207</v>
      </c>
      <c r="H23" s="22" t="n">
        <f aca="false">(20.823075+0.059235957*($A$23+273.15)-0.00000051159127*($A$23+273.15)^2-0.000000048979736*($A$23+273.15)^3-($A$23+273.15)*0.0000000001*(-1131.240934/(($A$23+273.15)/100)^3+3608.789328/(($A$23+273.15)/100)^4-24219.432384/(($A$23+273.15)/100)^5)*101325)</f>
        <v>38.0715636335814</v>
      </c>
      <c r="I23" s="23" t="n">
        <f aca="false">((20.823075+0.059235957*($A$23+273.15)-0.00000051159127*($A$23+273.15)^2-0.000000048979736*($A$23+273.15)^3-($A$23+273.15)*0.0000000001*(-1131.240934/(($A$23+273.15)/100)^3+3608.789328/(($A$23+273.15)/100)^4-24219.432384/(($A$23+273.15)/100)^5)*101325))/(((20.823075+0.059235957*($A$23+273.15)-0.00000051159127*($A$23+273.15)^2-0.000000048979736*($A$23+273.15)^3)-8.31446261815324-($A$23+273.15)*8.31446261815324*(2*0.00000001*(565.620467/(($A$23+273.15)/100)^2-1202.929776/(($A$23+273.15)/100)^3+6054.858096/(($A$23+273.15)/100)^4)+($A$23+273.15)*0.0000000001*(-1131.240934/(($A$23+273.15)/100)^3+3608.789328/(($A$23+273.15)/100)^4-24219.432384/(($A$23+273.15)/100)^5))*(101325/((1+0.000001*(75.188632-565.620467/(($A$23+273.15)/100)+601.464888/(($A$23+273.15)/100)^2-2018.286032/(($A$23+273.15)/100)^3)*101325/(8.31446261815324*($A$23+273.15)))*8.31446261815324*($A$23+273.15)))))</f>
        <v>1.28653278224959</v>
      </c>
      <c r="J23" s="22" t="n">
        <f aca="false">0.00000100697*SQRT(($A$23+273.15))/EXP(0.235156-0.491266*LN(($A$23+273.15)/251.196)+0.05211155*LN(($A$23+273.15)/251.196)^2+0.05347906*LN(($A$23+273.15)/251.196)^3-0.01537102*LN(($A$23+273.15)/251.196)^4)*1000000</f>
        <v>15.6482773998548</v>
      </c>
      <c r="K23" s="22" t="n">
        <f aca="false">0.001*(-2.8088692+0.053424539*($A$23+273.15)+0.000038923913*($A$23+273.15)^2)*1000</f>
        <v>17.7380178517657</v>
      </c>
      <c r="L23" s="22" t="n">
        <f aca="false">((($A$23+273.15)*0.00000001*(565.620467/(($A$23+273.15)/100)^2-1202.929776/(($A$23+273.15)/100)^3+6054.858096/(($A$23+273.15)/100)^4))-(0.000001*(75.188632-565.620467/(($A$23+273.15)/100)+601.464888/(($A$23+273.15)/100)^2-2018.286032/(($A$23+273.15)/100)^3)))/(20.823075+0.059235957*($A$23+273.15)-0.00000051159127*($A$23+273.15)^2-0.000000048979736*($A$23+273.15)^3)*100000</f>
        <v>0.965002992935764</v>
      </c>
    </row>
    <row r="24" customFormat="false" ht="15" hidden="false" customHeight="false" outlineLevel="0" collapsed="false">
      <c r="A24" s="18" t="n">
        <v>42.5</v>
      </c>
      <c r="B24" s="13" t="n">
        <f aca="false">22064000*EXP(647.096/($A$24+273.15)*(-7.85951783*(1-($A$24+273.15)/647.096)+1.84408259*(1-($A$24+273.15)/647.096)^1.5-11.7866497*(1-($A$24+273.15)/647.096)^3+22.6807411*(1-($A$24+273.15)/647.096)^3.5-15.9618719*(1-($A$24+273.15)/647.096)^4+1.80122502*(1-($A$24+273.15)/647.096)^7.5))</f>
        <v>8427.96149901376</v>
      </c>
      <c r="C24" s="13" t="n">
        <f aca="false">0.000001*(75.188632-565.620467/(($A$24+273.15)/100)+601.464888/(($A$24+273.15)/100)^2-2018.286032/(($A$24+273.15)/100)^3)*1000000</f>
        <v>-107.811704119541</v>
      </c>
      <c r="D24" s="19" t="n">
        <f aca="false">0.000001*(-236.26407+204871.53/($A$24+273.15)-59999434/($A$24+273.15)^2)*1000000</f>
        <v>-189.410373250248</v>
      </c>
      <c r="E24" s="20" t="n">
        <f aca="false">0.000001*(19202.081-20032490/($A$24+273.15)+7075968700/($A$24+273.15)^2-870743060000/($A$24+273.15)^3)*1000000</f>
        <v>-929.998300457737</v>
      </c>
      <c r="F24" s="21" t="n">
        <f aca="false">1+0.000001*(75.188632-565.620467/(($A$24+273.15)/100)+601.464888/(($A$24+273.15)/100)^2-2018.286032/(($A$24+273.15)/100)^3)*101325/(8.31446261815324*($A$24+273.15))</f>
        <v>0.995837612157219</v>
      </c>
      <c r="G24" s="21" t="n">
        <f aca="false">1+0.000001*(75.188632-565.620467/(($A$24+273.15)/100)+601.464888/(($A$24+273.15)/100)^2-2018.286032/(($A$24+273.15)/100)^3)*300000/(8.31446261815324*($A$24+273.15))</f>
        <v>0.98767612777859</v>
      </c>
      <c r="H24" s="22" t="n">
        <f aca="false">(20.823075+0.059235957*($A$24+273.15)-0.00000051159127*($A$24+273.15)^2-0.000000048979736*($A$24+273.15)^3-($A$24+273.15)*0.0000000001*(-1131.240934/(($A$24+273.15)/100)^3+3608.789328/(($A$24+273.15)/100)^4-24219.432384/(($A$24+273.15)/100)^5)*101325)</f>
        <v>38.1755112855345</v>
      </c>
      <c r="I24" s="23" t="n">
        <f aca="false">((20.823075+0.059235957*($A$24+273.15)-0.00000051159127*($A$24+273.15)^2-0.000000048979736*($A$24+273.15)^3-($A$24+273.15)*0.0000000001*(-1131.240934/(($A$24+273.15)/100)^3+3608.789328/(($A$24+273.15)/100)^4-24219.432384/(($A$24+273.15)/100)^5)*101325))/(((20.823075+0.059235957*($A$24+273.15)-0.00000051159127*($A$24+273.15)^2-0.000000048979736*($A$24+273.15)^3)-8.31446261815324-($A$24+273.15)*8.31446261815324*(2*0.00000001*(565.620467/(($A$24+273.15)/100)^2-1202.929776/(($A$24+273.15)/100)^3+6054.858096/(($A$24+273.15)/100)^4)+($A$24+273.15)*0.0000000001*(-1131.240934/(($A$24+273.15)/100)^3+3608.789328/(($A$24+273.15)/100)^4-24219.432384/(($A$24+273.15)/100)^5))*(101325/((1+0.000001*(75.188632-565.620467/(($A$24+273.15)/100)+601.464888/(($A$24+273.15)/100)^2-2018.286032/(($A$24+273.15)/100)^3)*101325/(8.31446261815324*($A$24+273.15)))*8.31446261815324*($A$24+273.15)))))</f>
        <v>1.28535907039615</v>
      </c>
      <c r="J24" s="22" t="n">
        <f aca="false">0.00000100697*SQRT(($A$24+273.15))/EXP(0.235156-0.491266*LN(($A$24+273.15)/251.196)+0.05211155*LN(($A$24+273.15)/251.196)^2+0.05347906*LN(($A$24+273.15)/251.196)^3-0.01537102*LN(($A$24+273.15)/251.196)^4)*1000000</f>
        <v>15.7682489938462</v>
      </c>
      <c r="K24" s="22" t="n">
        <f aca="false">0.001*(-2.8088692+0.053424539*($A$24+273.15)+0.000038923913*($A$24+273.15)^2)*1000</f>
        <v>17.9327675905017</v>
      </c>
      <c r="L24" s="22" t="n">
        <f aca="false">((($A$24+273.15)*0.00000001*(565.620467/(($A$24+273.15)/100)^2-1202.929776/(($A$24+273.15)/100)^3+6054.858096/(($A$24+273.15)/100)^4))-(0.000001*(75.188632-565.620467/(($A$24+273.15)/100)+601.464888/(($A$24+273.15)/100)^2-2018.286032/(($A$24+273.15)/100)^3)))/(20.823075+0.059235957*($A$24+273.15)-0.00000051159127*($A$24+273.15)^2-0.000000048979736*($A$24+273.15)^3)*100000</f>
        <v>0.945951589511324</v>
      </c>
    </row>
    <row r="25" customFormat="false" ht="15" hidden="false" customHeight="false" outlineLevel="0" collapsed="false">
      <c r="A25" s="18" t="n">
        <v>45</v>
      </c>
      <c r="B25" s="13" t="n">
        <f aca="false">22064000*EXP(647.096/($A$25+273.15)*(-7.85951783*(1-($A$25+273.15)/647.096)+1.84408259*(1-($A$25+273.15)/647.096)^1.5-11.7866497*(1-($A$25+273.15)/647.096)^3+22.6807411*(1-($A$25+273.15)/647.096)^3.5-15.9618719*(1-($A$25+273.15)/647.096)^4+1.80122502*(1-($A$25+273.15)/647.096)^7.5))</f>
        <v>9595.3378267817</v>
      </c>
      <c r="C25" s="13" t="n">
        <f aca="false">0.000001*(75.188632-565.620467/(($A$25+273.15)/100)+601.464888/(($A$25+273.15)/100)^2-2018.286032/(($A$25+273.15)/100)^3)*1000000</f>
        <v>-105.847624470544</v>
      </c>
      <c r="D25" s="19" t="n">
        <f aca="false">0.000001*(-236.26407+204871.53/($A$25+273.15)-59999434/($A$25+273.15)^2)*1000000</f>
        <v>-185.083741743336</v>
      </c>
      <c r="E25" s="20" t="n">
        <f aca="false">0.000001*(19202.081-20032490/($A$25+273.15)+7075968700/($A$25+273.15)^2-870743060000/($A$25+273.15)^3)*1000000</f>
        <v>-895.472201193225</v>
      </c>
      <c r="F25" s="21" t="n">
        <f aca="false">1+0.000001*(75.188632-565.620467/(($A$25+273.15)/100)+601.464888/(($A$25+273.15)/100)^2-2018.286032/(($A$25+273.15)/100)^3)*101325/(8.31446261815324*($A$25+273.15))</f>
        <v>0.995945553114431</v>
      </c>
      <c r="G25" s="21" t="n">
        <f aca="false">1+0.000001*(75.188632-565.620467/(($A$25+273.15)/100)+601.464888/(($A$25+273.15)/100)^2-2018.286032/(($A$25+273.15)/100)^3)*300000/(8.31446261815324*($A$25+273.15))</f>
        <v>0.987995716104903</v>
      </c>
      <c r="H25" s="22" t="n">
        <f aca="false">(20.823075+0.059235957*($A$25+273.15)-0.00000051159127*($A$25+273.15)^2-0.000000048979736*($A$25+273.15)^3-($A$25+273.15)*0.0000000001*(-1131.240934/(($A$25+273.15)/100)^3+3608.789328/(($A$25+273.15)/100)^4-24219.432384/(($A$25+273.15)/100)^5)*101325)</f>
        <v>38.2791387516517</v>
      </c>
      <c r="I25" s="23" t="n">
        <f aca="false">((20.823075+0.059235957*($A$25+273.15)-0.00000051159127*($A$25+273.15)^2-0.000000048979736*($A$25+273.15)^3-($A$25+273.15)*0.0000000001*(-1131.240934/(($A$25+273.15)/100)^3+3608.789328/(($A$25+273.15)/100)^4-24219.432384/(($A$25+273.15)/100)^5)*101325))/(((20.823075+0.059235957*($A$25+273.15)-0.00000051159127*($A$25+273.15)^2-0.000000048979736*($A$25+273.15)^3)-8.31446261815324-($A$25+273.15)*8.31446261815324*(2*0.00000001*(565.620467/(($A$25+273.15)/100)^2-1202.929776/(($A$25+273.15)/100)^3+6054.858096/(($A$25+273.15)/100)^4)+($A$25+273.15)*0.0000000001*(-1131.240934/(($A$25+273.15)/100)^3+3608.789328/(($A$25+273.15)/100)^4-24219.432384/(($A$25+273.15)/100)^5))*(101325/((1+0.000001*(75.188632-565.620467/(($A$25+273.15)/100)+601.464888/(($A$25+273.15)/100)^2-2018.286032/(($A$25+273.15)/100)^3)*101325/(8.31446261815324*($A$25+273.15)))*8.31446261815324*($A$25+273.15)))))</f>
        <v>1.28420287708254</v>
      </c>
      <c r="J25" s="22" t="n">
        <f aca="false">0.00000100697*SQRT(($A$25+273.15))/EXP(0.235156-0.491266*LN(($A$25+273.15)/251.196)+0.05211155*LN(($A$25+273.15)/251.196)^2+0.05347906*LN(($A$25+273.15)/251.196)^3-0.01537102*LN(($A$25+273.15)/251.196)^4)*1000000</f>
        <v>15.8880163877287</v>
      </c>
      <c r="K25" s="22" t="n">
        <f aca="false">0.001*(-2.8088692+0.053424539*($A$25+273.15)+0.000038923913*($A$25+273.15)^2)*1000</f>
        <v>18.1280038781502</v>
      </c>
      <c r="L25" s="22" t="n">
        <f aca="false">((($A$25+273.15)*0.00000001*(565.620467/(($A$25+273.15)/100)^2-1202.929776/(($A$25+273.15)/100)^3+6054.858096/(($A$25+273.15)/100)^4))-(0.000001*(75.188632-565.620467/(($A$25+273.15)/100)+601.464888/(($A$25+273.15)/100)^2-2018.286032/(($A$25+273.15)/100)^3)))/(20.823075+0.059235957*($A$25+273.15)-0.00000051159127*($A$25+273.15)^2-0.000000048979736*($A$25+273.15)^3)*100000</f>
        <v>0.927472674746551</v>
      </c>
    </row>
    <row r="26" customFormat="false" ht="15" hidden="false" customHeight="false" outlineLevel="0" collapsed="false">
      <c r="A26" s="3" t="s">
        <v>136</v>
      </c>
    </row>
    <row r="27" customFormat="false" ht="15" hidden="false" customHeight="false" outlineLevel="0" collapsed="false">
      <c r="A27" s="2" t="s">
        <v>137</v>
      </c>
      <c r="B27" s="2" t="s">
        <v>138</v>
      </c>
    </row>
    <row r="28" customFormat="false" ht="15" hidden="false" customHeight="false" outlineLevel="0" collapsed="false">
      <c r="A28" s="2" t="s">
        <v>139</v>
      </c>
      <c r="B28" s="2" t="s">
        <v>140</v>
      </c>
    </row>
    <row r="29" customFormat="false" ht="15" hidden="false" customHeight="false" outlineLevel="0" collapsed="false">
      <c r="A29" s="2" t="s">
        <v>141</v>
      </c>
      <c r="B29" s="2" t="s">
        <v>142</v>
      </c>
    </row>
    <row r="30" customFormat="false" ht="15" hidden="false" customHeight="false" outlineLevel="0" collapsed="false">
      <c r="A30" s="2" t="s">
        <v>143</v>
      </c>
      <c r="B30" s="2" t="s">
        <v>144</v>
      </c>
    </row>
    <row r="31" customFormat="false" ht="15" hidden="false" customHeight="false" outlineLevel="0" collapsed="false">
      <c r="A31" s="2" t="s">
        <v>145</v>
      </c>
      <c r="B31" s="2" t="s">
        <v>146</v>
      </c>
    </row>
    <row r="32" customFormat="false" ht="15" hidden="false" customHeight="false" outlineLevel="0" collapsed="false">
      <c r="A32" s="2" t="s">
        <v>147</v>
      </c>
      <c r="B32" s="6" t="s">
        <v>148</v>
      </c>
    </row>
    <row r="33" customFormat="false" ht="15" hidden="false" customHeight="false" outlineLevel="0" collapsed="false">
      <c r="A33" s="2" t="s">
        <v>149</v>
      </c>
      <c r="B33" s="2" t="s">
        <v>150</v>
      </c>
    </row>
    <row r="34" customFormat="false" ht="15" hidden="false" customHeight="false" outlineLevel="0" collapsed="false">
      <c r="A34" s="2" t="s">
        <v>151</v>
      </c>
      <c r="B34" s="2" t="s">
        <v>152</v>
      </c>
    </row>
    <row r="35" customFormat="false" ht="15" hidden="false" customHeight="false" outlineLevel="0" collapsed="false">
      <c r="A35" s="2" t="s">
        <v>153</v>
      </c>
      <c r="B35" s="2" t="s">
        <v>154</v>
      </c>
    </row>
    <row r="36" customFormat="false" ht="15" hidden="false" customHeight="false" outlineLevel="0" collapsed="false">
      <c r="A36" s="2" t="s">
        <v>155</v>
      </c>
      <c r="B36" s="2" t="s">
        <v>156</v>
      </c>
    </row>
    <row r="37" customFormat="false" ht="15" hidden="false" customHeight="false" outlineLevel="0" collapsed="false">
      <c r="A37" s="2" t="s">
        <v>78</v>
      </c>
      <c r="B37" s="2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7" min="3" style="0" width="15"/>
    <col collapsed="false" customWidth="true" hidden="false" outlineLevel="0" max="8" min="8" style="0" width="66"/>
  </cols>
  <sheetData>
    <row r="1" customFormat="false" ht="19.4" hidden="false" customHeight="false" outlineLevel="0" collapsed="false">
      <c r="A1" s="1" t="s">
        <v>158</v>
      </c>
    </row>
    <row r="3" customFormat="false" ht="15" hidden="false" customHeight="false" outlineLevel="0" collapsed="false">
      <c r="A3" s="11" t="s">
        <v>159</v>
      </c>
      <c r="B3" s="24" t="n">
        <f aca="false">0.5*((((D9*0.00000001*(565.620467/(D9/100)^2-1202.929776/(D9/100)^3+6054.858096/(D9/100)^4))-(0.000001*(75.188632-565.620467/(D9/100)+601.464888/(D9/100)^2-2018.286032/(D9/100)^3)))/(20.823075+0.059235957*D9-0.00000051159127*D9^2-0.000000048979736*D9^3))+((((D9+$B$4)*0.00000001*(565.620467/((D9+$B$4)/100)^2-1202.929776/((D9+$B$4)/100)^3+6054.858096/((D9+$B$4)/100)^4))-(0.000001*(75.188632-565.620467/((D9+$B$4)/100)+601.464888/((D9+$B$4)/100)^2-2018.286032/((D9+$B$4)/100)^3)))/(20.823075+0.059235957*(D9+$B$4)-0.00000051159127*(D9+$B$4)^2-0.000000048979736*(D9+$B$4)^3)))*(E11-D11)</f>
        <v>-1.82398927099025</v>
      </c>
      <c r="C3" s="11" t="s">
        <v>155</v>
      </c>
      <c r="D3" s="2" t="s">
        <v>160</v>
      </c>
    </row>
    <row r="4" customFormat="false" ht="15" hidden="false" customHeight="false" outlineLevel="0" collapsed="false">
      <c r="A4" s="6" t="s">
        <v>161</v>
      </c>
      <c r="B4" s="25" t="n">
        <f aca="false">((D9*0.00000001*(565.620467/(D9/100)^2-1202.929776/(D9/100)^3+6054.858096/(D9/100)^4))-(0.000001*(75.188632-565.620467/(D9/100)+601.464888/(D9/100)^2-2018.286032/(D9/100)^3)))/(20.823075+0.059235957*D9-0.00000051159127*D9^2-0.000000048979736*D9^3)*(E11-D11)</f>
        <v>-1.81034610988734</v>
      </c>
      <c r="C4" s="11" t="s">
        <v>155</v>
      </c>
    </row>
    <row r="6" customFormat="false" ht="15" hidden="false" customHeight="false" outlineLevel="0" collapsed="false">
      <c r="A6" s="26" t="s">
        <v>162</v>
      </c>
      <c r="B6" s="26" t="s">
        <v>163</v>
      </c>
      <c r="C6" s="17" t="s">
        <v>164</v>
      </c>
      <c r="D6" s="17" t="s">
        <v>165</v>
      </c>
      <c r="E6" s="17" t="s">
        <v>166</v>
      </c>
      <c r="F6" s="17" t="s">
        <v>167</v>
      </c>
      <c r="G6" s="26" t="s">
        <v>168</v>
      </c>
      <c r="H6" s="26" t="s">
        <v>169</v>
      </c>
    </row>
    <row r="7" customFormat="false" ht="15" hidden="false" customHeight="false" outlineLevel="0" collapsed="false">
      <c r="A7" s="9" t="s">
        <v>170</v>
      </c>
      <c r="B7" s="9"/>
      <c r="C7" s="27" t="s">
        <v>171</v>
      </c>
      <c r="D7" s="27" t="s">
        <v>172</v>
      </c>
      <c r="E7" s="27" t="s">
        <v>173</v>
      </c>
      <c r="F7" s="27" t="s">
        <v>174</v>
      </c>
      <c r="G7" s="27" t="s">
        <v>2</v>
      </c>
    </row>
    <row r="8" customFormat="false" ht="15" hidden="false" customHeight="false" outlineLevel="0" collapsed="false">
      <c r="A8" s="9" t="s">
        <v>175</v>
      </c>
      <c r="B8" s="11" t="s">
        <v>47</v>
      </c>
      <c r="C8" s="22" t="n">
        <f aca="false">01_入力!$B$14</f>
        <v>30.655</v>
      </c>
      <c r="D8" s="22" t="n">
        <f aca="false">01_入力!$B$15</f>
        <v>34</v>
      </c>
      <c r="E8" s="22" t="n">
        <f aca="false">D8+$B$3</f>
        <v>32.1760107290098</v>
      </c>
      <c r="F8" s="22" t="n">
        <f aca="false">01_入力!$B$7</f>
        <v>20</v>
      </c>
      <c r="G8" s="22" t="n">
        <f aca="false">01_入力!$B$7</f>
        <v>20</v>
      </c>
      <c r="H8" s="2" t="s">
        <v>176</v>
      </c>
    </row>
    <row r="9" customFormat="false" ht="15" hidden="false" customHeight="false" outlineLevel="0" collapsed="false">
      <c r="A9" s="9" t="s">
        <v>175</v>
      </c>
      <c r="B9" s="11" t="s">
        <v>155</v>
      </c>
      <c r="C9" s="22" t="n">
        <f aca="false">C8+273.15</f>
        <v>303.805</v>
      </c>
      <c r="D9" s="22" t="n">
        <f aca="false">D8+273.15</f>
        <v>307.15</v>
      </c>
      <c r="E9" s="22" t="n">
        <f aca="false">E8+273.15</f>
        <v>305.32601072901</v>
      </c>
      <c r="F9" s="22" t="n">
        <f aca="false">F8+273.15</f>
        <v>293.15</v>
      </c>
      <c r="G9" s="22" t="n">
        <f aca="false">G8+273.15</f>
        <v>293.15</v>
      </c>
    </row>
    <row r="10" customFormat="false" ht="15" hidden="false" customHeight="false" outlineLevel="0" collapsed="false">
      <c r="A10" s="9" t="s">
        <v>177</v>
      </c>
      <c r="B10" s="11" t="s">
        <v>42</v>
      </c>
      <c r="C10" s="22" t="n">
        <f aca="false">01_入力!$B$12</f>
        <v>300</v>
      </c>
      <c r="D10" s="22" t="n">
        <f aca="false">01_入力!$B$12</f>
        <v>300</v>
      </c>
      <c r="E10" s="22" t="n">
        <f aca="false">01_入力!$B$9</f>
        <v>121.325</v>
      </c>
      <c r="F10" s="22" t="n">
        <f aca="false">01_入力!$B$9</f>
        <v>121.325</v>
      </c>
      <c r="G10" s="22" t="n">
        <f aca="false">01_入力!$B$9</f>
        <v>121.325</v>
      </c>
    </row>
    <row r="11" customFormat="false" ht="15" hidden="false" customHeight="false" outlineLevel="0" collapsed="false">
      <c r="A11" s="9" t="s">
        <v>177</v>
      </c>
      <c r="B11" s="11" t="s">
        <v>178</v>
      </c>
      <c r="C11" s="19" t="n">
        <f aca="false">C10*1000</f>
        <v>300000</v>
      </c>
      <c r="D11" s="19" t="n">
        <f aca="false">D10*1000</f>
        <v>300000</v>
      </c>
      <c r="E11" s="19" t="n">
        <f aca="false">E10*1000</f>
        <v>121325</v>
      </c>
      <c r="F11" s="19" t="n">
        <f aca="false">F10*1000</f>
        <v>121325</v>
      </c>
      <c r="G11" s="19" t="n">
        <f aca="false">G10*1000</f>
        <v>121325</v>
      </c>
    </row>
    <row r="12" customFormat="false" ht="15" hidden="false" customHeight="false" outlineLevel="0" collapsed="false">
      <c r="A12" s="9" t="s">
        <v>179</v>
      </c>
      <c r="B12" s="11" t="s">
        <v>178</v>
      </c>
      <c r="C12" s="22" t="n">
        <f aca="false">22064000*EXP(647.096/C9*(-7.85951783*(1-C9/647.096)+1.84408259*(1-C9/647.096)^1.5-11.7866497*(1-C9/647.096)^3+22.6807411*(1-C9/647.096)^3.5-15.9618719*(1-C9/647.096)^4+1.80122502*(1-C9/647.096)^7.5))</f>
        <v>4409.24702310375</v>
      </c>
      <c r="D12" s="22" t="n">
        <f aca="false">22064000*EXP(647.096/D9*(-7.85951783*(1-D9/647.096)+1.84408259*(1-D9/647.096)^1.5-11.7866497*(1-D9/647.096)^3+22.6807411*(1-D9/647.096)^3.5-15.9618719*(1-D9/647.096)^4+1.80122502*(1-D9/647.096)^7.5))</f>
        <v>5325.07762196264</v>
      </c>
      <c r="E12" s="22" t="n">
        <f aca="false">22064000*EXP(647.096/E9*(-7.85951783*(1-E9/647.096)+1.84408259*(1-E9/647.096)^1.5-11.7866497*(1-E9/647.096)^3+22.6807411*(1-E9/647.096)^3.5-15.9618719*(1-E9/647.096)^4+1.80122502*(1-E9/647.096)^7.5))</f>
        <v>4807.13875130135</v>
      </c>
      <c r="F12" s="22" t="n">
        <f aca="false">22064000*EXP(647.096/F9*(-7.85951783*(1-F9/647.096)+1.84408259*(1-F9/647.096)^1.5-11.7866497*(1-F9/647.096)^3+22.6807411*(1-F9/647.096)^3.5-15.9618719*(1-F9/647.096)^4+1.80122502*(1-F9/647.096)^7.5))</f>
        <v>2339.19373662275</v>
      </c>
      <c r="G12" s="22" t="n">
        <f aca="false">22064000*EXP(647.096/G9*(-7.85951783*(1-G9/647.096)+1.84408259*(1-G9/647.096)^1.5-11.7866497*(1-G9/647.096)^3+22.6807411*(1-G9/647.096)^3.5-15.9618719*(1-G9/647.096)^4+1.80122502*(1-G9/647.096)^7.5))</f>
        <v>2339.19373662275</v>
      </c>
      <c r="H12" s="2" t="s">
        <v>180</v>
      </c>
    </row>
    <row r="13" customFormat="false" ht="15" hidden="false" customHeight="false" outlineLevel="0" collapsed="false">
      <c r="A13" s="11" t="s">
        <v>181</v>
      </c>
      <c r="B13" s="11" t="s">
        <v>182</v>
      </c>
      <c r="C13" s="28" t="n">
        <f aca="false">0.000001*(19202.081-20032490/C9+7075968700/C9^2-870743060000/C9^3)</f>
        <v>-0.00112487499508427</v>
      </c>
      <c r="D13" s="28" t="n">
        <f aca="false">0.000001*(19202.081-20032490/D9+7075968700/D9^2-870743060000/D9^3)</f>
        <v>-0.00106397084793398</v>
      </c>
      <c r="E13" s="28" t="n">
        <f aca="false">0.000001*(19202.081-20032490/E9+7075968700/E9^2-870743060000/E9^3)</f>
        <v>-0.00109654470739842</v>
      </c>
      <c r="F13" s="28" t="n">
        <f aca="false">0.000001*(19202.081-20032490/F9+7075968700/F9^2-870743060000/F9^3)</f>
        <v>-0.00135781780460492</v>
      </c>
      <c r="G13" s="28" t="n">
        <f aca="false">0.000001*(19202.081-20032490/G9+7075968700/G9^2-870743060000/G9^3)</f>
        <v>-0.00135781780460492</v>
      </c>
      <c r="H13" s="2" t="s">
        <v>144</v>
      </c>
    </row>
    <row r="14" customFormat="false" ht="15" hidden="false" customHeight="false" outlineLevel="0" collapsed="false">
      <c r="A14" s="11" t="s">
        <v>183</v>
      </c>
      <c r="B14" s="11" t="s">
        <v>182</v>
      </c>
      <c r="C14" s="28" t="n">
        <f aca="false">0.000001*(75.188632-565.620467/(C9/100)+601.464888/(C9/100)^2-2018.286032/(C9/100)^3)</f>
        <v>-0.000117801948611873</v>
      </c>
      <c r="D14" s="28" t="n">
        <f aca="false">0.000001*(75.188632-565.620467/(D9/100)+601.464888/(D9/100)^2-2018.286032/(D9/100)^3)</f>
        <v>-0.000114859931125923</v>
      </c>
      <c r="E14" s="28" t="n">
        <f aca="false">0.000001*(75.188632-565.620467/(E9/100)+601.464888/(E9/100)^2-2018.286032/(E9/100)^3)</f>
        <v>-0.000116451782766118</v>
      </c>
      <c r="F14" s="28" t="n">
        <f aca="false">0.000001*(75.188632-565.620467/(F9/100)+601.464888/(F9/100)^2-2018.286032/(F9/100)^3)</f>
        <v>-0.000127882855560866</v>
      </c>
      <c r="G14" s="28" t="n">
        <f aca="false">0.000001*(75.188632-565.620467/(G9/100)+601.464888/(G9/100)^2-2018.286032/(G9/100)^3)</f>
        <v>-0.000127882855560866</v>
      </c>
      <c r="H14" s="2" t="s">
        <v>184</v>
      </c>
    </row>
    <row r="15" customFormat="false" ht="15" hidden="false" customHeight="false" outlineLevel="0" collapsed="false">
      <c r="A15" s="11" t="s">
        <v>185</v>
      </c>
      <c r="B15" s="11" t="s">
        <v>182</v>
      </c>
      <c r="C15" s="28" t="n">
        <f aca="false">0.000001*(-236.26407+204871.53/C9-59999434/C9^2)+01_入力!$B$38/1000000</f>
        <v>-0.000211977803250189</v>
      </c>
      <c r="D15" s="28" t="n">
        <f aca="false">0.000001*(-236.26407+204871.53/D9-59999434/D9^2)+01_入力!$B$38/1000000</f>
        <v>-0.000205239884979306</v>
      </c>
      <c r="E15" s="28" t="n">
        <f aca="false">0.000001*(-236.26407+204871.53/E9-59999434/E9^2)+01_入力!$B$38/1000000</f>
        <v>-0.000208876554864084</v>
      </c>
      <c r="F15" s="28" t="n">
        <f aca="false">0.000001*(-236.26407+204871.53/F9-59999434/F9^2)+01_入力!$B$38/1000000</f>
        <v>-0.00023558153427736</v>
      </c>
      <c r="G15" s="28" t="n">
        <f aca="false">0.000001*(-236.26407+204871.53/G9-59999434/G9^2)+01_入力!$B$38/1000000</f>
        <v>-0.00023558153427736</v>
      </c>
      <c r="H15" s="6" t="s">
        <v>186</v>
      </c>
    </row>
    <row r="16" customFormat="false" ht="15" hidden="false" customHeight="false" outlineLevel="0" collapsed="false">
      <c r="A16" s="11" t="s">
        <v>187</v>
      </c>
      <c r="B16" s="11" t="s">
        <v>182</v>
      </c>
      <c r="C16" s="28" t="n">
        <f aca="false">0.018015268/((999.83952+16.945176*(C9-273.15)-0.0079870401*(C9-273.15)^2-0.000046170461*(C9-273.15)^3+0.00000010556302*(C9-273.15)^4-0.00000000028054253*(C9-273.15)^5)/(1+0.01687985*(C9-273.15)))</f>
        <v>1.80976550590034E-005</v>
      </c>
      <c r="D16" s="28" t="n">
        <f aca="false">0.018015268/((999.83952+16.945176*(D9-273.15)-0.0079870401*(D9-273.15)^2-0.000046170461*(D9-273.15)^3+0.00000010556302*(D9-273.15)^4-0.00000000028054253*(D9-273.15)^5)/(1+0.01687985*(D9-273.15)))</f>
        <v>1.8117240856144E-005</v>
      </c>
      <c r="E16" s="28" t="n">
        <f aca="false">0.018015268/((999.83952+16.945176*(E9-273.15)-0.0079870401*(E9-273.15)^2-0.000046170461*(E9-273.15)^3+0.00000010556302*(E9-273.15)^4-0.00000000028054253*(E9-273.15)^5)/(1+0.01687985*(E9-273.15)))</f>
        <v>1.81063442919564E-005</v>
      </c>
      <c r="F16" s="28" t="n">
        <f aca="false">0.018015268/((999.83952+16.945176*(F9-273.15)-0.0079870401*(F9-273.15)^2-0.000046170461*(F9-273.15)^3+0.00000010556302*(F9-273.15)^4-0.00000000028054253*(F9-273.15)^5)/(1+0.01687985*(F9-273.15)))</f>
        <v>1.80476792460121E-005</v>
      </c>
      <c r="G16" s="28" t="n">
        <f aca="false">0.018015268/((999.83952+16.945176*(G9-273.15)-0.0079870401*(G9-273.15)^2-0.000046170461*(G9-273.15)^3+0.00000010556302*(G9-273.15)^4-0.00000000028054253*(G9-273.15)^5)/(1+0.01687985*(G9-273.15)))</f>
        <v>1.80476792460121E-005</v>
      </c>
      <c r="H16" s="2" t="s">
        <v>188</v>
      </c>
    </row>
    <row r="17" customFormat="false" ht="15" hidden="false" customHeight="false" outlineLevel="0" collapsed="false">
      <c r="A17" s="11" t="s">
        <v>189</v>
      </c>
      <c r="B17" s="11" t="s">
        <v>178</v>
      </c>
      <c r="C17" s="28" t="n">
        <f aca="false">(22064000*EXP(647.096/C9*(-7.85951783*(1-C9/647.096)+1.84408259*(1-C9/647.096)^1.5-11.7866497*(1-C9/647.096)^3+22.6807411*(1-C9/647.096)^3.5-15.9618719*(1-C9/647.096)^4+1.80122502*(1-C9/647.096)^7.5)))*EXP(-8.55445/(C9/647.096)+4.01195*(1-(C9/647.096))^0.355/(C9/647.096)+9.52345*(C9/647.096)^-0.41*EXP(1-(C9/647.096)))</f>
        <v>190507779.797039</v>
      </c>
      <c r="D17" s="28" t="n">
        <f aca="false">(22064000*EXP(647.096/D9*(-7.85951783*(1-D9/647.096)+1.84408259*(1-D9/647.096)^1.5-11.7866497*(1-D9/647.096)^3+22.6807411*(1-D9/647.096)^3.5-15.9618719*(1-D9/647.096)^4+1.80122502*(1-D9/647.096)^7.5)))*EXP(-8.55445/(D9/647.096)+4.01195*(1-(D9/647.096))^0.355/(D9/647.096)+9.52345*(D9/647.096)^-0.41*EXP(1-(D9/647.096)))</f>
        <v>205812373.821629</v>
      </c>
      <c r="E17" s="28" t="n">
        <f aca="false">(22064000*EXP(647.096/E9*(-7.85951783*(1-E9/647.096)+1.84408259*(1-E9/647.096)^1.5-11.7866497*(1-E9/647.096)^3+22.6807411*(1-E9/647.096)^3.5-15.9618719*(1-E9/647.096)^4+1.80122502*(1-E9/647.096)^7.5)))*EXP(-8.55445/(E9/647.096)+4.01195*(1-(E9/647.096))^0.355/(E9/647.096)+9.52345*(E9/647.096)^-0.41*EXP(1-(E9/647.096)))</f>
        <v>197416718.284691</v>
      </c>
      <c r="F17" s="28" t="n">
        <f aca="false">(22064000*EXP(647.096/F9*(-7.85951783*(1-F9/647.096)+1.84408259*(1-F9/647.096)^1.5-11.7866497*(1-F9/647.096)^3+22.6807411*(1-F9/647.096)^3.5-15.9618719*(1-F9/647.096)^4+1.80122502*(1-F9/647.096)^7.5)))*EXP(-8.55445/(F9/647.096)+4.01195*(1-(F9/647.096))^0.355/(F9/647.096)+9.52345*(F9/647.096)^-0.41*EXP(1-(F9/647.096)))</f>
        <v>144888590.898551</v>
      </c>
      <c r="G17" s="28" t="n">
        <f aca="false">(22064000*EXP(647.096/G9*(-7.85951783*(1-G9/647.096)+1.84408259*(1-G9/647.096)^1.5-11.7866497*(1-G9/647.096)^3+22.6807411*(1-G9/647.096)^3.5-15.9618719*(1-G9/647.096)^4+1.80122502*(1-G9/647.096)^7.5)))*EXP(-8.55445/(G9/647.096)+4.01195*(1-(G9/647.096))^0.355/(G9/647.096)+9.52345*(G9/647.096)^-0.41*EXP(1-(G9/647.096)))</f>
        <v>144888590.898551</v>
      </c>
      <c r="H17" s="2" t="s">
        <v>190</v>
      </c>
    </row>
    <row r="18" customFormat="false" ht="15" hidden="false" customHeight="false" outlineLevel="0" collapsed="false">
      <c r="A18" s="11" t="s">
        <v>191</v>
      </c>
      <c r="B18" s="11" t="s">
        <v>49</v>
      </c>
      <c r="C18" s="29" t="n">
        <f aca="false">LN(1-(C11-C12)/C17)</f>
        <v>-0.00155279909940281</v>
      </c>
      <c r="D18" s="29" t="n">
        <f aca="false">LN(1-(D11-D12)/D17)</f>
        <v>-0.00143279080394029</v>
      </c>
      <c r="E18" s="29" t="n">
        <f aca="false">LN(1-(E11-E12)/E17)</f>
        <v>-0.000590386979177288</v>
      </c>
      <c r="F18" s="29" t="n">
        <f aca="false">LN(1-(F11-F12)/F17)</f>
        <v>-0.000821560132617139</v>
      </c>
      <c r="G18" s="29" t="n">
        <f aca="false">LN(1-(G11-G12)/G17)</f>
        <v>-0.000821560132617139</v>
      </c>
      <c r="H18" s="6" t="s">
        <v>192</v>
      </c>
    </row>
    <row r="19" customFormat="false" ht="15" hidden="false" customHeight="false" outlineLevel="0" collapsed="false">
      <c r="A19" s="11" t="s">
        <v>193</v>
      </c>
      <c r="B19" s="11" t="s">
        <v>49</v>
      </c>
      <c r="C19" s="29" t="n">
        <f aca="false">C13*C12/(8.31446261815324*C9)</f>
        <v>-0.00196353926841477</v>
      </c>
      <c r="D19" s="29" t="n">
        <f aca="false">D13*D12/(8.31446261815324*D9)</f>
        <v>-0.00221855891826695</v>
      </c>
      <c r="E19" s="29" t="n">
        <f aca="false">E13*E12/(8.31446261815324*E9)</f>
        <v>-0.00207641908605823</v>
      </c>
      <c r="F19" s="29" t="n">
        <f aca="false">F13*F12/(8.31446261815324*F9)</f>
        <v>-0.00130311759259427</v>
      </c>
      <c r="G19" s="29" t="n">
        <f aca="false">G13*G12/(8.31446261815324*G9)</f>
        <v>-0.00130311759259427</v>
      </c>
    </row>
    <row r="20" customFormat="false" ht="15" hidden="false" customHeight="false" outlineLevel="0" collapsed="false">
      <c r="A20" s="11" t="s">
        <v>194</v>
      </c>
      <c r="B20" s="11" t="s">
        <v>49</v>
      </c>
      <c r="C20" s="29" t="n">
        <f aca="false">C16*(C11-C12)/(8.31446261815324*C9)</f>
        <v>0.00211779563036128</v>
      </c>
      <c r="D20" s="29" t="n">
        <f aca="false">D16*(D11-D12)/(8.31446261815324*D9)</f>
        <v>0.00209050172906944</v>
      </c>
      <c r="E20" s="29" t="n">
        <f aca="false">E16*(E11-E12)/(8.31446261815324*E9)</f>
        <v>0.000831046433506425</v>
      </c>
      <c r="F20" s="29" t="n">
        <f aca="false">F16*(F11-F12)/(8.31446261815324*F9)</f>
        <v>0.000881033532261969</v>
      </c>
      <c r="G20" s="29" t="n">
        <f aca="false">G16*(G11-G12)/(8.31446261815324*G9)</f>
        <v>0.000881033532261969</v>
      </c>
      <c r="H20" s="6" t="s">
        <v>195</v>
      </c>
    </row>
    <row r="21" customFormat="false" ht="15" hidden="false" customHeight="false" outlineLevel="0" collapsed="false">
      <c r="A21" s="11" t="s">
        <v>196</v>
      </c>
      <c r="B21" s="11" t="s">
        <v>49</v>
      </c>
      <c r="C21" s="29" t="n">
        <f aca="false">C12/C11</f>
        <v>0.0146974900770125</v>
      </c>
      <c r="D21" s="29" t="n">
        <f aca="false">D12/D11</f>
        <v>0.0177502587398755</v>
      </c>
      <c r="E21" s="29" t="n">
        <f aca="false">E12/E11</f>
        <v>0.0396219967137964</v>
      </c>
      <c r="F21" s="29" t="n">
        <f aca="false">F12/F11</f>
        <v>0.0192803934607274</v>
      </c>
      <c r="G21" s="29" t="n">
        <f aca="false">G12/G11</f>
        <v>0.0192803934607274</v>
      </c>
      <c r="H21" s="6" t="s">
        <v>197</v>
      </c>
    </row>
    <row r="22" customFormat="false" ht="15" hidden="false" customHeight="false" outlineLevel="0" collapsed="false">
      <c r="A22" s="9" t="s">
        <v>198</v>
      </c>
      <c r="B22" s="11" t="s">
        <v>182</v>
      </c>
      <c r="C22" s="28" t="n">
        <f aca="false">C21^2*C13+2*C21*(1-C21)*C15+(1-C21)^2*C14</f>
        <v>-0.000120747103073998</v>
      </c>
      <c r="D22" s="28" t="n">
        <f aca="false">D21^2*D13+2*D21*(1-D21)*D15+(1-D21)^2*D14</f>
        <v>-0.000118310551904879</v>
      </c>
      <c r="E22" s="28" t="n">
        <f aca="false">E21^2*E13+2*E21*(1-E21)*E15+(1-E21)^2*E14</f>
        <v>-0.000125024345468134</v>
      </c>
      <c r="F22" s="28" t="n">
        <f aca="false">F21^2*F13+2*F21*(1-F21)*F15+(1-F21)^2*F14</f>
        <v>-0.000132412939045433</v>
      </c>
      <c r="G22" s="28" t="n">
        <f aca="false">G21^2*G13+2*G21*(1-G21)*G15+(1-G21)^2*G14</f>
        <v>-0.000132412939045433</v>
      </c>
    </row>
    <row r="23" customFormat="false" ht="15" hidden="false" customHeight="false" outlineLevel="0" collapsed="false">
      <c r="A23" s="9" t="s">
        <v>199</v>
      </c>
      <c r="B23" s="11" t="s">
        <v>49</v>
      </c>
      <c r="C23" s="29" t="n">
        <f aca="false">(2*(C21*C13+(1-C21)*C15)-C22)*C11/(8.31446261815324*C9)</f>
        <v>-0.0391979006537316</v>
      </c>
      <c r="D23" s="29" t="n">
        <f aca="false">(2*(D21*D13+(1-D21)*D15)-D22)*D11/(8.31446261815324*D9)</f>
        <v>-0.0379030734210708</v>
      </c>
      <c r="E23" s="29" t="n">
        <f aca="false">(2*(E21*E13+(1-E21)*E15)-E22)*E11/(8.31446261815324*E9)</f>
        <v>-0.0173517799947041</v>
      </c>
      <c r="F23" s="29" t="n">
        <f aca="false">(2*(F21*F13+(1-F21)*F15)-F22)*F11/(8.31446261815324*F9)</f>
        <v>-0.0190159211460763</v>
      </c>
      <c r="G23" s="29" t="n">
        <f aca="false">(2*(G21*G13+(1-G21)*G15)-G22)*G11/(8.31446261815324*G9)</f>
        <v>-0.0190159211460763</v>
      </c>
    </row>
    <row r="24" customFormat="false" ht="15" hidden="false" customHeight="false" outlineLevel="0" collapsed="false">
      <c r="A24" s="9" t="s">
        <v>200</v>
      </c>
      <c r="B24" s="11" t="s">
        <v>49</v>
      </c>
      <c r="C24" s="29" t="n">
        <f aca="false">C19-C23+C20+C18</f>
        <v>0.0377993579162753</v>
      </c>
      <c r="D24" s="29" t="n">
        <f aca="false">D19-D23+D20+D18</f>
        <v>0.036342225427933</v>
      </c>
      <c r="E24" s="29" t="n">
        <f aca="false">E19-E23+E20+E18</f>
        <v>0.015516020362975</v>
      </c>
      <c r="F24" s="29" t="n">
        <f aca="false">F19-F23+F20+F18</f>
        <v>0.0177722769531268</v>
      </c>
      <c r="G24" s="29" t="n">
        <f aca="false">G19-G23+G20+G18</f>
        <v>0.0177722769531268</v>
      </c>
    </row>
    <row r="25" customFormat="false" ht="15" hidden="false" customHeight="false" outlineLevel="0" collapsed="false">
      <c r="A25" s="9" t="s">
        <v>201</v>
      </c>
      <c r="B25" s="11" t="s">
        <v>49</v>
      </c>
      <c r="C25" s="29" t="n">
        <f aca="false">EXP(C24)*C12/C11</f>
        <v>0.0152636791442685</v>
      </c>
      <c r="D25" s="29" t="n">
        <f aca="false">EXP(D24)*D12/D11</f>
        <v>0.0184072078362104</v>
      </c>
      <c r="E25" s="29" t="n">
        <f aca="false">EXP(E24)*E12/E11</f>
        <v>0.0402415666213698</v>
      </c>
      <c r="F25" s="29" t="n">
        <f aca="false">EXP(F24)*F12/F11</f>
        <v>0.0196261129647759</v>
      </c>
      <c r="G25" s="29" t="n">
        <f aca="false">EXP(G24)*G12/G11</f>
        <v>0.0196261129647759</v>
      </c>
    </row>
    <row r="26" customFormat="false" ht="15" hidden="false" customHeight="false" outlineLevel="0" collapsed="false">
      <c r="A26" s="9" t="s">
        <v>202</v>
      </c>
      <c r="B26" s="11" t="s">
        <v>182</v>
      </c>
      <c r="C26" s="28" t="n">
        <f aca="false">C25^2*C13+2*C25*(1-C25)*C15+(1-C25)^2*C14</f>
        <v>-0.000120867634284648</v>
      </c>
      <c r="D26" s="28" t="n">
        <f aca="false">D25^2*D13+2*D25*(1-D25)*D15+(1-D25)^2*D14</f>
        <v>-0.00011844755307695</v>
      </c>
      <c r="E26" s="28" t="n">
        <f aca="false">E25^2*E13+2*E25*(1-E25)*E15+(1-E25)^2*E14</f>
        <v>-0.000125178222169009</v>
      </c>
      <c r="F26" s="28" t="n">
        <f aca="false">F25^2*F13+2*F25*(1-F25)*F15+(1-F25)^2*F14</f>
        <v>-0.000132501052392461</v>
      </c>
      <c r="G26" s="28" t="n">
        <f aca="false">G25^2*G13+2*G25*(1-G25)*G15+(1-G25)^2*G14</f>
        <v>-0.000132501052392461</v>
      </c>
    </row>
    <row r="27" customFormat="false" ht="15" hidden="false" customHeight="false" outlineLevel="0" collapsed="false">
      <c r="A27" s="9" t="s">
        <v>203</v>
      </c>
      <c r="B27" s="11" t="s">
        <v>49</v>
      </c>
      <c r="C27" s="29" t="n">
        <f aca="false">(2*(C25*C13+(1-C25)*C15)-C26)*C11/(8.31446261815324*C9)</f>
        <v>-0.0393063593868112</v>
      </c>
      <c r="D27" s="29" t="n">
        <f aca="false">(2*(D25*D13+(1-D25)*D15)-D26)*D11/(8.31446261815324*D9)</f>
        <v>-0.0380195221084317</v>
      </c>
      <c r="E27" s="29" t="n">
        <f aca="false">(2*(E25*E13+(1-E25)*E15)-E26)*E11/(8.31446261815324*E9)</f>
        <v>-0.0173969941872178</v>
      </c>
      <c r="F27" s="29" t="n">
        <f aca="false">(2*(F25*F13+(1-F25)*F15)-F26)*F11/(8.31446261815324*F9)</f>
        <v>-0.0190501597887908</v>
      </c>
      <c r="G27" s="29" t="n">
        <f aca="false">(2*(G25*G13+(1-G25)*G15)-G26)*G11/(8.31446261815324*G9)</f>
        <v>-0.0190501597887908</v>
      </c>
    </row>
    <row r="28" customFormat="false" ht="15" hidden="false" customHeight="false" outlineLevel="0" collapsed="false">
      <c r="A28" s="9" t="s">
        <v>204</v>
      </c>
      <c r="B28" s="11" t="s">
        <v>49</v>
      </c>
      <c r="C28" s="29" t="n">
        <f aca="false">C19-C27+C20+C18</f>
        <v>0.0379078166493549</v>
      </c>
      <c r="D28" s="29" t="n">
        <f aca="false">D19-D27+D20+D18</f>
        <v>0.0364586741152939</v>
      </c>
      <c r="E28" s="29" t="n">
        <f aca="false">E19-E27+E20+E18</f>
        <v>0.0155612345554887</v>
      </c>
      <c r="F28" s="29" t="n">
        <f aca="false">F19-F27+F20+F18</f>
        <v>0.0178065155958414</v>
      </c>
      <c r="G28" s="29" t="n">
        <f aca="false">G19-G27+G20+G18</f>
        <v>0.0178065155958414</v>
      </c>
    </row>
    <row r="29" customFormat="false" ht="15" hidden="false" customHeight="false" outlineLevel="0" collapsed="false">
      <c r="A29" s="9" t="s">
        <v>205</v>
      </c>
      <c r="B29" s="11" t="s">
        <v>49</v>
      </c>
      <c r="C29" s="29" t="n">
        <f aca="false">EXP(C28)*C12/C11</f>
        <v>0.0152653347133494</v>
      </c>
      <c r="D29" s="29" t="n">
        <f aca="false">EXP(D28)*D12/D11</f>
        <v>0.0184093514562093</v>
      </c>
      <c r="E29" s="29" t="n">
        <f aca="false">EXP(E28)*E12/E11</f>
        <v>0.0402433861524441</v>
      </c>
      <c r="F29" s="29" t="n">
        <f aca="false">EXP(F28)*F12/F11</f>
        <v>0.0196267849477494</v>
      </c>
      <c r="G29" s="29" t="n">
        <f aca="false">EXP(G28)*G12/G11</f>
        <v>0.0196267849477494</v>
      </c>
    </row>
    <row r="30" customFormat="false" ht="15" hidden="false" customHeight="false" outlineLevel="0" collapsed="false">
      <c r="A30" s="9" t="s">
        <v>206</v>
      </c>
      <c r="B30" s="11" t="s">
        <v>182</v>
      </c>
      <c r="C30" s="28" t="n">
        <f aca="false">C29^2*C13+2*C29*(1-C29)*C15+(1-C29)^2*C14</f>
        <v>-0.000120867987494458</v>
      </c>
      <c r="D30" s="28" t="n">
        <f aca="false">D29^2*D13+2*D29*(1-D29)*D15+(1-D29)^2*D14</f>
        <v>-0.000118448001196313</v>
      </c>
      <c r="E30" s="28" t="n">
        <f aca="false">E29^2*E13+2*E29*(1-E29)*E15+(1-E29)^2*E14</f>
        <v>-0.000125178674967814</v>
      </c>
      <c r="F30" s="28" t="n">
        <f aca="false">F29^2*F13+2*F29*(1-F29)*F15+(1-F29)^2*F14</f>
        <v>-0.000132501223896559</v>
      </c>
      <c r="G30" s="28" t="n">
        <f aca="false">G29^2*G13+2*G29*(1-G29)*G15+(1-G29)^2*G14</f>
        <v>-0.000132501223896559</v>
      </c>
    </row>
    <row r="31" customFormat="false" ht="15" hidden="false" customHeight="false" outlineLevel="0" collapsed="false">
      <c r="A31" s="9" t="s">
        <v>207</v>
      </c>
      <c r="B31" s="11" t="s">
        <v>49</v>
      </c>
      <c r="C31" s="29" t="n">
        <f aca="false">(2*(C29*C13+(1-C29)*C15)-C30)*C11/(8.31446261815324*C9)</f>
        <v>-0.0393066764349118</v>
      </c>
      <c r="D31" s="29" t="n">
        <f aca="false">(2*(D29*D13+(1-D29)*D15)-D30)*D11/(8.31446261815324*D9)</f>
        <v>-0.038019901952106</v>
      </c>
      <c r="E31" s="29" t="n">
        <f aca="false">(2*(E29*E13+(1-E29)*E15)-E30)*E11/(8.31446261815324*E9)</f>
        <v>-0.0173971269276942</v>
      </c>
      <c r="F31" s="29" t="n">
        <f aca="false">(2*(F29*F13+(1-F29)*F15)-F30)*F11/(8.31446261815324*F9)</f>
        <v>-0.0190502263274754</v>
      </c>
      <c r="G31" s="29" t="n">
        <f aca="false">(2*(G29*G13+(1-G29)*G15)-G30)*G11/(8.31446261815324*G9)</f>
        <v>-0.0190502263274754</v>
      </c>
    </row>
    <row r="32" customFormat="false" ht="15" hidden="false" customHeight="false" outlineLevel="0" collapsed="false">
      <c r="A32" s="9" t="s">
        <v>208</v>
      </c>
      <c r="B32" s="11" t="s">
        <v>49</v>
      </c>
      <c r="C32" s="29" t="n">
        <f aca="false">C19-C31+C20+C18</f>
        <v>0.0379081336974555</v>
      </c>
      <c r="D32" s="29" t="n">
        <f aca="false">D19-D31+D20+D18</f>
        <v>0.0364590539589682</v>
      </c>
      <c r="E32" s="29" t="n">
        <f aca="false">E19-E31+E20+E18</f>
        <v>0.0155613672959651</v>
      </c>
      <c r="F32" s="29" t="n">
        <f aca="false">F19-F31+F20+F18</f>
        <v>0.0178065821345259</v>
      </c>
      <c r="G32" s="29" t="n">
        <f aca="false">G19-G31+G20+G18</f>
        <v>0.0178065821345259</v>
      </c>
    </row>
    <row r="33" customFormat="false" ht="15" hidden="false" customHeight="false" outlineLevel="0" collapsed="false">
      <c r="A33" s="9" t="s">
        <v>209</v>
      </c>
      <c r="B33" s="11" t="s">
        <v>49</v>
      </c>
      <c r="C33" s="30" t="n">
        <f aca="false">IF(01_入力!$B$39=1,EXP(C32),1)</f>
        <v>1.0386358128638</v>
      </c>
      <c r="D33" s="30" t="n">
        <f aca="false">IF(01_入力!$B$39=1,EXP(D32),1)</f>
        <v>1.03713183670558</v>
      </c>
      <c r="E33" s="30" t="n">
        <f aca="false">IF(01_入力!$B$39=1,EXP(E32),1)</f>
        <v>1.01568307586977</v>
      </c>
      <c r="F33" s="30" t="n">
        <f aca="false">IF(01_入力!$B$39=1,EXP(F32),1)</f>
        <v>1.01796606452395</v>
      </c>
      <c r="G33" s="30" t="n">
        <f aca="false">IF(01_入力!$B$39=1,EXP(G32),1)</f>
        <v>1.01796606452395</v>
      </c>
      <c r="H33" s="2" t="s">
        <v>210</v>
      </c>
    </row>
    <row r="34" customFormat="false" ht="15" hidden="false" customHeight="false" outlineLevel="0" collapsed="false">
      <c r="A34" s="3" t="s">
        <v>211</v>
      </c>
    </row>
    <row r="35" customFormat="false" ht="15" hidden="false" customHeight="false" outlineLevel="0" collapsed="false">
      <c r="A35" s="9" t="s">
        <v>212</v>
      </c>
      <c r="B35" s="11" t="s">
        <v>49</v>
      </c>
      <c r="C35" s="31" t="n">
        <f aca="false">01_入力!$B$13</f>
        <v>0.9</v>
      </c>
      <c r="D35" s="31" t="n">
        <f aca="false">D36*D11/(D33*D12)</f>
        <v>0.74629464334794</v>
      </c>
      <c r="E35" s="31" t="n">
        <f aca="false">E36*E11/(E33*E12)</f>
        <v>0.341392837127006</v>
      </c>
      <c r="F35" s="31" t="n">
        <f aca="false">F36*F11/(F33*F12)</f>
        <v>0.700002813516811</v>
      </c>
      <c r="G35" s="31" t="n">
        <f aca="false">01_入力!$B$8</f>
        <v>0.7</v>
      </c>
      <c r="H35" s="2" t="s">
        <v>213</v>
      </c>
    </row>
    <row r="36" customFormat="false" ht="15" hidden="false" customHeight="false" outlineLevel="0" collapsed="false">
      <c r="A36" s="9" t="s">
        <v>214</v>
      </c>
      <c r="B36" s="11" t="s">
        <v>49</v>
      </c>
      <c r="C36" s="29" t="n">
        <f aca="false">C35*C33*C12/C11</f>
        <v>0.013738805597876</v>
      </c>
      <c r="D36" s="29" t="n">
        <f aca="false">$C$36</f>
        <v>0.013738805597876</v>
      </c>
      <c r="E36" s="29" t="n">
        <f aca="false">$C$36</f>
        <v>0.013738805597876</v>
      </c>
      <c r="F36" s="29" t="n">
        <f aca="false">$C$36</f>
        <v>0.013738805597876</v>
      </c>
      <c r="G36" s="29" t="n">
        <f aca="false">G35*G33*G12/G11</f>
        <v>0.0137387503775829</v>
      </c>
      <c r="H36" s="2" t="s">
        <v>215</v>
      </c>
    </row>
    <row r="37" customFormat="false" ht="15" hidden="false" customHeight="false" outlineLevel="0" collapsed="false">
      <c r="A37" s="9" t="s">
        <v>216</v>
      </c>
      <c r="B37" s="11" t="s">
        <v>178</v>
      </c>
      <c r="C37" s="22" t="n">
        <f aca="false">C36*C11</f>
        <v>4121.6416793628</v>
      </c>
      <c r="D37" s="22" t="n">
        <f aca="false">D36*D11</f>
        <v>4121.6416793628</v>
      </c>
      <c r="E37" s="22" t="n">
        <f aca="false">E36*E11</f>
        <v>1666.86058916231</v>
      </c>
      <c r="F37" s="22" t="n">
        <f aca="false">F36*F11</f>
        <v>1666.86058916231</v>
      </c>
      <c r="G37" s="22" t="n">
        <f aca="false">G36*G11</f>
        <v>1666.85388956025</v>
      </c>
    </row>
    <row r="38" customFormat="false" ht="15" hidden="false" customHeight="false" outlineLevel="0" collapsed="false">
      <c r="A38" s="3" t="s">
        <v>217</v>
      </c>
      <c r="B38" s="11" t="s">
        <v>178</v>
      </c>
      <c r="C38" s="22" t="n">
        <f aca="false">C37/C33</f>
        <v>3968.32232079337</v>
      </c>
      <c r="D38" s="22" t="n">
        <f aca="false">D37/D33</f>
        <v>3974.07690468271</v>
      </c>
      <c r="E38" s="22" t="n">
        <f aca="false">E37/E33</f>
        <v>1641.12273676994</v>
      </c>
      <c r="F38" s="22" t="n">
        <f aca="false">F37/F33</f>
        <v>1637.44219699683</v>
      </c>
      <c r="G38" s="22" t="n">
        <f aca="false">G37/G33</f>
        <v>1637.43561563593</v>
      </c>
      <c r="H38" s="2" t="s">
        <v>218</v>
      </c>
    </row>
    <row r="39" customFormat="false" ht="15" hidden="false" customHeight="false" outlineLevel="0" collapsed="false">
      <c r="A39" s="9" t="s">
        <v>219</v>
      </c>
      <c r="B39" s="11" t="s">
        <v>155</v>
      </c>
      <c r="C39" s="22" t="n">
        <f aca="false">(207.98233-20.156028*LN(C38)+0.46778925*LN(C38)^2-0.0000092288067*LN(C38)^3)/(1-0.13319669*LN(C38)+0.0056577518*LN(C38)^2-0.000075172865*LN(C38)^3)</f>
        <v>301.972781997942</v>
      </c>
      <c r="D39" s="22" t="n">
        <f aca="false">(207.98233-20.156028*LN(D38)+0.46778925*LN(D38)^2-0.0000092288067*LN(D38)^3)/(1-0.13319669*LN(D38)+0.0056577518*LN(D38)^2-0.000075172865*LN(D38)^3)</f>
        <v>301.997803897924</v>
      </c>
      <c r="E39" s="22" t="n">
        <f aca="false">(207.98233-20.156028*LN(E38)+0.46778925*LN(E38)^2-0.0000092288067*LN(E38)^3)/(1-0.13319669*LN(E38)+0.0056577518*LN(E38)^2-0.000075172865*LN(E38)^3)</f>
        <v>287.552011543315</v>
      </c>
      <c r="F39" s="22" t="n">
        <f aca="false">(207.98233-20.156028*LN(F38)+0.46778925*LN(F38)^2-0.0000092288067*LN(F38)^3)/(1-0.13319669*LN(F38)+0.0056577518*LN(F38)^2-0.000075172865*LN(F38)^3)</f>
        <v>287.517321821942</v>
      </c>
      <c r="G39" s="22" t="n">
        <f aca="false">(207.98233-20.156028*LN(G38)+0.46778925*LN(G38)^2-0.0000092288067*LN(G38)^3)/(1-0.13319669*LN(G38)+0.0056577518*LN(G38)^2-0.000075172865*LN(G38)^3)</f>
        <v>287.517259730153</v>
      </c>
      <c r="H39" s="2" t="s">
        <v>220</v>
      </c>
    </row>
    <row r="40" customFormat="false" ht="15" hidden="false" customHeight="false" outlineLevel="0" collapsed="false">
      <c r="A40" s="11" t="s">
        <v>221</v>
      </c>
      <c r="B40" s="11" t="s">
        <v>178</v>
      </c>
      <c r="C40" s="22" t="n">
        <f aca="false">22064000*EXP(647.096/C39*(-7.85951783*(1-C39/647.096)+1.84408259*(1-C39/647.096)^1.5-11.7866497*(1-C39/647.096)^3+22.6807411*(1-C39/647.096)^3.5-15.9618719*(1-C39/647.096)^4+1.80122502*(1-C39/647.096)^7.5))</f>
        <v>3968.20104349781</v>
      </c>
      <c r="D40" s="22" t="n">
        <f aca="false">22064000*EXP(647.096/D39*(-7.85951783*(1-D39/647.096)+1.84408259*(1-D39/647.096)^1.5-11.7866497*(1-D39/647.096)^3+22.6807411*(1-D39/647.096)^3.5-15.9618719*(1-D39/647.096)^4+1.80122502*(1-D39/647.096)^7.5))</f>
        <v>3973.95545297863</v>
      </c>
      <c r="E40" s="22" t="n">
        <f aca="false">22064000*EXP(647.096/E39*(-7.85951783*(1-E39/647.096)+1.84408259*(1-E39/647.096)^1.5-11.7866497*(1-E39/647.096)^3+22.6807411*(1-E39/647.096)^3.5-15.9618719*(1-E39/647.096)^4+1.80122502*(1-E39/647.096)^7.5))</f>
        <v>1641.08099959554</v>
      </c>
      <c r="F40" s="22" t="n">
        <f aca="false">22064000*EXP(647.096/F39*(-7.85951783*(1-F39/647.096)+1.84408259*(1-F39/647.096)^1.5-11.7866497*(1-F39/647.096)^3+22.6807411*(1-F39/647.096)^3.5-15.9618719*(1-F39/647.096)^4+1.80122502*(1-F39/647.096)^7.5))</f>
        <v>1637.40060097031</v>
      </c>
      <c r="G40" s="22" t="n">
        <f aca="false">22064000*EXP(647.096/G39*(-7.85951783*(1-G39/647.096)+1.84408259*(1-G39/647.096)^1.5-11.7866497*(1-G39/647.096)^3+22.6807411*(1-G39/647.096)^3.5-15.9618719*(1-G39/647.096)^4+1.80122502*(1-G39/647.096)^7.5))</f>
        <v>1637.39401986185</v>
      </c>
    </row>
    <row r="41" customFormat="false" ht="15" hidden="false" customHeight="false" outlineLevel="0" collapsed="false">
      <c r="A41" s="11" t="s">
        <v>222</v>
      </c>
      <c r="B41" s="11" t="s">
        <v>155</v>
      </c>
      <c r="C41" s="22" t="n">
        <f aca="false">C39-(C40-C38)*461.5228*C39^2/((C40)*1000*(2500.93-2.3666*(C39-273.15)-0.0016*(C39-273.15)^2))</f>
        <v>301.97331100344</v>
      </c>
      <c r="D41" s="22" t="n">
        <f aca="false">D39-(D40-D38)*461.5228*D39^2/((D40)*1000*(2500.93-2.3666*(D39-273.15)-0.0016*(D39-273.15)^2))</f>
        <v>301.998332998125</v>
      </c>
      <c r="E41" s="22" t="n">
        <f aca="false">E39-(E40-E38)*461.5228*E39^2/((E40)*1000*(2500.93-2.3666*(E39-273.15)-0.0016*(E39-273.15)^2))</f>
        <v>287.552405034823</v>
      </c>
      <c r="F41" s="22" t="n">
        <f aca="false">F39-(F40-F38)*461.5228*F39^2/((F40)*1000*(2500.93-2.3666*(F39-273.15)-0.0016*(F39-273.15)^2))</f>
        <v>287.517714756034</v>
      </c>
      <c r="G41" s="22" t="n">
        <f aca="false">G39-(G40-G38)*461.5228*G39^2/((G40)*1000*(2500.93-2.3666*(G39-273.15)-0.0016*(G39-273.15)^2))</f>
        <v>287.517652663247</v>
      </c>
    </row>
    <row r="42" customFormat="false" ht="15" hidden="false" customHeight="false" outlineLevel="0" collapsed="false">
      <c r="A42" s="11" t="s">
        <v>223</v>
      </c>
      <c r="B42" s="11" t="s">
        <v>178</v>
      </c>
      <c r="C42" s="22" t="n">
        <f aca="false">22064000*EXP(647.096/C41*(-7.85951783*(1-C41/647.096)+1.84408259*(1-C41/647.096)^1.5-11.7866497*(1-C41/647.096)^3+22.6807411*(1-C41/647.096)^3.5-15.9618719*(1-C41/647.096)^4+1.80122502*(1-C41/647.096)^7.5))</f>
        <v>3968.32262644136</v>
      </c>
      <c r="D42" s="22" t="n">
        <f aca="false">22064000*EXP(647.096/D41*(-7.85951783*(1-D41/647.096)+1.84408259*(1-D41/647.096)^1.5-11.7866497*(1-D41/647.096)^3+22.6807411*(1-D41/647.096)^3.5-15.9618719*(1-D41/647.096)^4+1.80122502*(1-D41/647.096)^7.5))</f>
        <v>3974.07721109407</v>
      </c>
      <c r="E42" s="22" t="n">
        <f aca="false">22064000*EXP(647.096/E41*(-7.85951783*(1-E41/647.096)+1.84408259*(1-E41/647.096)^1.5-11.7866497*(1-E41/647.096)^3+22.6807411*(1-E41/647.096)^3.5-15.9618719*(1-E41/647.096)^4+1.80122502*(1-E41/647.096)^7.5))</f>
        <v>1641.12278864506</v>
      </c>
      <c r="F42" s="22" t="n">
        <f aca="false">22064000*EXP(647.096/F41*(-7.85951783*(1-F41/647.096)+1.84408259*(1-F41/647.096)^1.5-11.7866497*(1-F41/647.096)^3+22.6807411*(1-F41/647.096)^3.5-15.9618719*(1-F41/647.096)^4+1.80122502*(1-F41/647.096)^7.5))</f>
        <v>1637.44224859199</v>
      </c>
      <c r="G42" s="22" t="n">
        <f aca="false">22064000*EXP(647.096/G41*(-7.85951783*(1-G41/647.096)+1.84408259*(1-G41/647.096)^1.5-11.7866497*(1-G41/647.096)^3+22.6807411*(1-G41/647.096)^3.5-15.9618719*(1-G41/647.096)^4+1.80122502*(1-G41/647.096)^7.5))</f>
        <v>1637.4356672306</v>
      </c>
    </row>
    <row r="43" customFormat="false" ht="15" hidden="false" customHeight="false" outlineLevel="0" collapsed="false">
      <c r="A43" s="11" t="s">
        <v>224</v>
      </c>
      <c r="B43" s="11" t="s">
        <v>155</v>
      </c>
      <c r="C43" s="22" t="n">
        <f aca="false">C41-(C42-C38)*461.5228*C41^2/((C42)*1000*(2500.93-2.3666*(C41-273.15)-0.0016*(C41-273.15)^2))</f>
        <v>301.973309670254</v>
      </c>
      <c r="D43" s="22" t="n">
        <f aca="false">D41-(D42-D38)*461.5228*D41^2/((D42)*1000*(2500.93-2.3666*(D41-273.15)-0.0016*(D41-273.15)^2))</f>
        <v>301.99833166329</v>
      </c>
      <c r="E43" s="22" t="n">
        <f aca="false">E41-(E42-E38)*461.5228*E41^2/((E42)*1000*(2500.93-2.3666*(E41-273.15)-0.0016*(E41-273.15)^2))</f>
        <v>287.552404545764</v>
      </c>
      <c r="F43" s="22" t="n">
        <f aca="false">F41-(F42-F38)*461.5228*F41^2/((F42)*1000*(2500.93-2.3666*(F41-273.15)-0.0016*(F41-273.15)^2))</f>
        <v>287.517714268655</v>
      </c>
      <c r="G43" s="22" t="n">
        <f aca="false">G41-(G42-G38)*461.5228*G41^2/((G42)*1000*(2500.93-2.3666*(G41-273.15)-0.0016*(G41-273.15)^2))</f>
        <v>287.51765217587</v>
      </c>
    </row>
    <row r="44" customFormat="false" ht="15" hidden="false" customHeight="false" outlineLevel="0" collapsed="false">
      <c r="A44" s="9" t="s">
        <v>225</v>
      </c>
      <c r="B44" s="11" t="s">
        <v>47</v>
      </c>
      <c r="C44" s="32" t="n">
        <f aca="false">C43-273.15</f>
        <v>28.8233096702544</v>
      </c>
      <c r="D44" s="32" t="n">
        <f aca="false">D43-273.15</f>
        <v>28.8483316632901</v>
      </c>
      <c r="E44" s="32" t="n">
        <f aca="false">E43-273.15</f>
        <v>14.4024045457637</v>
      </c>
      <c r="F44" s="32" t="n">
        <f aca="false">F43-273.15</f>
        <v>14.3677142686551</v>
      </c>
      <c r="G44" s="32" t="n">
        <f aca="false">G43-273.15</f>
        <v>14.3676521758701</v>
      </c>
    </row>
    <row r="45" customFormat="false" ht="15" hidden="false" customHeight="false" outlineLevel="0" collapsed="false">
      <c r="A45" s="9" t="s">
        <v>226</v>
      </c>
      <c r="B45" s="11" t="s">
        <v>155</v>
      </c>
      <c r="C45" s="32" t="n">
        <f aca="false">C8-C44</f>
        <v>1.83169032974561</v>
      </c>
      <c r="D45" s="32" t="n">
        <f aca="false">D8-D44</f>
        <v>5.15166833670992</v>
      </c>
      <c r="E45" s="32" t="n">
        <f aca="false">E8-E44</f>
        <v>17.7736061832461</v>
      </c>
      <c r="F45" s="32" t="n">
        <f aca="false">F8-F44</f>
        <v>5.63228573134489</v>
      </c>
      <c r="G45" s="32" t="n">
        <f aca="false">G8-G44</f>
        <v>5.63234782412985</v>
      </c>
      <c r="H45" s="2" t="s">
        <v>227</v>
      </c>
    </row>
    <row r="46" customFormat="false" ht="15" hidden="false" customHeight="false" outlineLevel="0" collapsed="false">
      <c r="A46" s="3" t="s">
        <v>228</v>
      </c>
    </row>
    <row r="47" customFormat="false" ht="15" hidden="false" customHeight="false" outlineLevel="0" collapsed="false">
      <c r="A47" s="9" t="s">
        <v>229</v>
      </c>
      <c r="B47" s="11" t="s">
        <v>230</v>
      </c>
      <c r="C47" s="22" t="n">
        <f aca="false">1000*0.40935*C36/(1-C36)</f>
        <v>5.70232318113239</v>
      </c>
      <c r="D47" s="22" t="n">
        <f aca="false">1000*0.40935*D36/(1-D36)</f>
        <v>5.70232318113239</v>
      </c>
      <c r="E47" s="22" t="n">
        <f aca="false">1000*0.40935*E36/(1-E36)</f>
        <v>5.70232318113239</v>
      </c>
      <c r="F47" s="22" t="n">
        <f aca="false">1000*0.40935*F36/(1-F36)</f>
        <v>5.70232318113239</v>
      </c>
      <c r="G47" s="22" t="n">
        <f aca="false">1000*0.40935*G36/(1-G36)</f>
        <v>5.70229994255241</v>
      </c>
      <c r="H47" s="2" t="s">
        <v>231</v>
      </c>
    </row>
    <row r="48" customFormat="false" ht="15" hidden="false" customHeight="false" outlineLevel="0" collapsed="false">
      <c r="A48" s="9" t="s">
        <v>232</v>
      </c>
      <c r="B48" s="11" t="s">
        <v>233</v>
      </c>
      <c r="C48" s="22" t="n">
        <f aca="false">1000*C37*0.018015268/(8.31446261815324*C9)</f>
        <v>29.3955681165782</v>
      </c>
      <c r="D48" s="22" t="n">
        <f aca="false">1000*D37*0.018015268/(8.31446261815324*D9)</f>
        <v>29.0754373161551</v>
      </c>
      <c r="E48" s="22" t="n">
        <f aca="false">1000*E37*0.018015268/(8.31446261815324*E9)</f>
        <v>11.8288361760084</v>
      </c>
      <c r="F48" s="22" t="n">
        <f aca="false">1000*F37*0.018015268/(8.31446261815324*F9)</f>
        <v>12.3201479146773</v>
      </c>
      <c r="G48" s="22" t="n">
        <f aca="false">1000*G37*0.018015268/(8.31446261815324*G9)</f>
        <v>12.3200983963859</v>
      </c>
      <c r="H48" s="6" t="s">
        <v>234</v>
      </c>
    </row>
    <row r="49" customFormat="false" ht="15" hidden="false" customHeight="false" outlineLevel="0" collapsed="false">
      <c r="A49" s="9" t="s">
        <v>235</v>
      </c>
      <c r="B49" s="11" t="s">
        <v>236</v>
      </c>
      <c r="C49" s="29" t="n">
        <f aca="false">C36*0.018015268+(1-C36)*0.0440095</f>
        <v>0.0436523702998859</v>
      </c>
      <c r="D49" s="29" t="n">
        <f aca="false">D36*0.018015268+(1-D36)*0.0440095</f>
        <v>0.0436523702998859</v>
      </c>
      <c r="E49" s="29" t="n">
        <f aca="false">E36*0.018015268+(1-E36)*0.0440095</f>
        <v>0.0436523702998859</v>
      </c>
      <c r="F49" s="29" t="n">
        <f aca="false">F36*0.018015268+(1-F36)*0.0440095</f>
        <v>0.0436523702998859</v>
      </c>
      <c r="G49" s="29" t="n">
        <f aca="false">G36*0.018015268+(1-G36)*0.0440095</f>
        <v>0.043652371735295</v>
      </c>
    </row>
    <row r="50" customFormat="false" ht="15" hidden="false" customHeight="false" outlineLevel="0" collapsed="false">
      <c r="A50" s="9" t="s">
        <v>237</v>
      </c>
      <c r="B50" s="11" t="s">
        <v>49</v>
      </c>
      <c r="C50" s="21" t="n">
        <f aca="false">1+(C36^2*C13+2*C36*(1-C36)*C15+(1-C36)^2*C14)*C11/(8.31446261815324*C9)</f>
        <v>0.985683445169241</v>
      </c>
      <c r="D50" s="21" t="n">
        <f aca="false">1+(D36^2*D13+2*D36*(1-D36)*D15+(1-D36)^2*D14)*D11/(8.31446261815324*D9)</f>
        <v>0.986198334779344</v>
      </c>
      <c r="E50" s="21" t="n">
        <f aca="false">1+(E36^2*E13+2*E36*(1-E36)*E15+(1-E36)^2*E14)*E11/(8.31446261815324*E9)</f>
        <v>0.994306027338074</v>
      </c>
      <c r="F50" s="21" t="n">
        <f aca="false">1+(F36^2*F13+2*F36*(1-F36)*F15+(1-F36)^2*F14)*F11/(8.31446261815324*F9)</f>
        <v>0.993477575245477</v>
      </c>
      <c r="G50" s="21" t="n">
        <f aca="false">1+(G36^2*G13+2*G36*(1-G36)*G15+(1-G36)^2*G14)*G11/(8.31446261815324*G9)</f>
        <v>0.993477575914162</v>
      </c>
      <c r="H50" s="2" t="s">
        <v>238</v>
      </c>
    </row>
    <row r="51" customFormat="false" ht="15" hidden="false" customHeight="false" outlineLevel="0" collapsed="false">
      <c r="A51" s="9" t="s">
        <v>239</v>
      </c>
      <c r="B51" s="11" t="s">
        <v>240</v>
      </c>
      <c r="C51" s="21" t="n">
        <f aca="false">C11*C49/(C50*8.31446261815324*C9)</f>
        <v>5.2597187332082</v>
      </c>
      <c r="D51" s="21" t="n">
        <f aca="false">D11*D49/(D50*8.31446261815324*D9)</f>
        <v>5.19972188978276</v>
      </c>
      <c r="E51" s="21" t="n">
        <f aca="false">E11*E49/(E50*8.31446261815324*E9)</f>
        <v>2.09816708657271</v>
      </c>
      <c r="F51" s="21" t="n">
        <f aca="false">F11*F49/(F50*8.31446261815324*F9)</f>
        <v>2.18713695326889</v>
      </c>
      <c r="G51" s="21" t="n">
        <f aca="false">G11*G49/(G50*8.31446261815324*G9)</f>
        <v>2.18713702371582</v>
      </c>
    </row>
    <row r="53" customFormat="false" ht="15" hidden="false" customHeight="false" outlineLevel="0" collapsed="false">
      <c r="A53" s="3" t="s">
        <v>241</v>
      </c>
    </row>
    <row r="54" customFormat="false" ht="15" hidden="false" customHeight="false" outlineLevel="0" collapsed="false">
      <c r="A54" s="6" t="s">
        <v>242</v>
      </c>
    </row>
    <row r="55" customFormat="false" ht="15" hidden="false" customHeight="false" outlineLevel="0" collapsed="false">
      <c r="A55" s="9" t="s">
        <v>243</v>
      </c>
      <c r="B55" s="11" t="s">
        <v>178</v>
      </c>
      <c r="C55" s="22" t="n">
        <f aca="false">G36*C11/(01_入力!$B$13*C33)</f>
        <v>4409.22930104552</v>
      </c>
      <c r="H55" s="2" t="s">
        <v>244</v>
      </c>
    </row>
    <row r="56" customFormat="false" ht="15" hidden="false" customHeight="false" outlineLevel="0" collapsed="false">
      <c r="A56" s="9" t="s">
        <v>245</v>
      </c>
      <c r="B56" s="11" t="s">
        <v>155</v>
      </c>
      <c r="C56" s="22" t="n">
        <f aca="false">(207.98233-20.156028*LN(C55)+0.46778925*LN(C55)^2-0.0000092288067*LN(C55)^3)/(1-0.13319669*LN(C55)+0.0056577518*LN(C55)^2-0.000075172865*LN(C55)^3)</f>
        <v>303.804396377544</v>
      </c>
    </row>
    <row r="57" customFormat="false" ht="15" hidden="false" customHeight="false" outlineLevel="0" collapsed="false">
      <c r="A57" s="11" t="s">
        <v>221</v>
      </c>
      <c r="B57" s="11" t="s">
        <v>178</v>
      </c>
      <c r="C57" s="22" t="n">
        <f aca="false">22064000*EXP(647.096/C56*(-7.85951783*(1-C56/647.096)+1.84408259*(1-C56/647.096)^1.5-11.7866497*(1-C56/647.096)^3+22.6807411*(1-C56/647.096)^3.5-15.9618719*(1-C56/647.096)^4+1.80122502*(1-C56/647.096)^7.5))</f>
        <v>4409.09498156628</v>
      </c>
    </row>
    <row r="58" customFormat="false" ht="15" hidden="false" customHeight="false" outlineLevel="0" collapsed="false">
      <c r="A58" s="11" t="s">
        <v>222</v>
      </c>
      <c r="B58" s="11" t="s">
        <v>155</v>
      </c>
      <c r="C58" s="22" t="n">
        <f aca="false">C56-(C57-C55)*461.5228*C56^2/((C57)*1000*(2500.93-2.3666*(C56-273.15)-0.0016*(C56-273.15)^2))</f>
        <v>303.804931092766</v>
      </c>
    </row>
    <row r="59" customFormat="false" ht="15" hidden="false" customHeight="false" outlineLevel="0" collapsed="false">
      <c r="A59" s="11" t="s">
        <v>223</v>
      </c>
      <c r="B59" s="11" t="s">
        <v>178</v>
      </c>
      <c r="C59" s="22" t="n">
        <f aca="false">22064000*EXP(647.096/C58*(-7.85951783*(1-C58/647.096)+1.84408259*(1-C58/647.096)^1.5-11.7866497*(1-C58/647.096)^3+22.6807411*(1-C58/647.096)^3.5-15.9618719*(1-C58/647.096)^4+1.80122502*(1-C58/647.096)^7.5))</f>
        <v>4409.22966639231</v>
      </c>
    </row>
    <row r="60" customFormat="false" ht="15" hidden="false" customHeight="false" outlineLevel="0" collapsed="false">
      <c r="A60" s="11" t="s">
        <v>224</v>
      </c>
      <c r="B60" s="11" t="s">
        <v>155</v>
      </c>
      <c r="C60" s="22" t="n">
        <f aca="false">C58-(C59-C55)*461.5228*C58^2/((C59)*1000*(2500.93-2.3666*(C58-273.15)-0.0016*(C58-273.15)^2))</f>
        <v>303.804929638388</v>
      </c>
    </row>
    <row r="61" customFormat="false" ht="15" hidden="false" customHeight="false" outlineLevel="0" collapsed="false">
      <c r="A61" s="9" t="s">
        <v>246</v>
      </c>
      <c r="B61" s="11" t="s">
        <v>47</v>
      </c>
      <c r="C61" s="32" t="n">
        <f aca="false">C60-273.15</f>
        <v>30.6549296383882</v>
      </c>
      <c r="H61" s="6" t="s">
        <v>247</v>
      </c>
    </row>
    <row r="62" customFormat="false" ht="15" hidden="false" customHeight="false" outlineLevel="0" collapsed="false">
      <c r="A62" s="9" t="s">
        <v>248</v>
      </c>
      <c r="B62" s="11" t="s">
        <v>47</v>
      </c>
      <c r="C62" s="22" t="n">
        <f aca="false">(207.98233-20.156028*LN(G36*C11/C33)+0.46778925*LN(G36*C11/C33)^2-0.0000092288067*LN(G36*C11/C33)^3)/(1-0.13319669*LN(G36*C11/C33)+0.0056577518*LN(G36*C11/C33)^2-0.000075172865*LN(G36*C11/C33)^3)-273.15</f>
        <v>28.8227126014397</v>
      </c>
      <c r="H62" s="6" t="s">
        <v>249</v>
      </c>
    </row>
    <row r="63" customFormat="false" ht="15" hidden="false" customHeight="false" outlineLevel="0" collapsed="false">
      <c r="A63" s="11" t="s">
        <v>250</v>
      </c>
      <c r="B63" s="11" t="s">
        <v>251</v>
      </c>
      <c r="C63" s="32" t="n">
        <f aca="false">100*(F35-G35)</f>
        <v>0.000281351681108433</v>
      </c>
      <c r="H63" s="2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9.4" hidden="false" customHeight="false" outlineLevel="0" collapsed="false">
      <c r="A1" s="1" t="s">
        <v>253</v>
      </c>
    </row>
    <row r="2" customFormat="false" ht="15" hidden="false" customHeight="false" outlineLevel="0" collapsed="false">
      <c r="A2" s="6" t="s">
        <v>254</v>
      </c>
    </row>
    <row r="4" customFormat="false" ht="15" hidden="false" customHeight="false" outlineLevel="0" collapsed="false">
      <c r="A4" s="7" t="s">
        <v>255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false" outlineLevel="0" collapsed="false">
      <c r="A5" s="9" t="s">
        <v>256</v>
      </c>
      <c r="B5" s="29" t="n">
        <f aca="false">8.31446261815324*(01_入力!$B$22+273.15)/(01_入力!$B$23*1000)</f>
        <v>0.0224139695450141</v>
      </c>
      <c r="C5" s="11" t="s">
        <v>182</v>
      </c>
      <c r="D5" s="2" t="s">
        <v>257</v>
      </c>
    </row>
    <row r="6" customFormat="false" ht="15" hidden="false" customHeight="false" outlineLevel="0" collapsed="false">
      <c r="A6" s="9" t="s">
        <v>258</v>
      </c>
      <c r="B6" s="29" t="n">
        <f aca="false">01_入力!$B$18/1000/60/04_流量切替!$B$5</f>
        <v>0.0223075167027352</v>
      </c>
      <c r="C6" s="11" t="s">
        <v>259</v>
      </c>
    </row>
    <row r="7" customFormat="false" ht="15" hidden="false" customHeight="false" outlineLevel="0" collapsed="false">
      <c r="A7" s="9" t="s">
        <v>260</v>
      </c>
      <c r="B7" s="29" t="n">
        <f aca="false">01_入力!$B$19/1000/60/04_流量切替!$B$5</f>
        <v>0.0111537583513676</v>
      </c>
      <c r="C7" s="11" t="s">
        <v>259</v>
      </c>
    </row>
    <row r="8" customFormat="false" ht="15" hidden="false" customHeight="false" outlineLevel="0" collapsed="false">
      <c r="A8" s="9" t="s">
        <v>261</v>
      </c>
      <c r="B8" s="29" t="n">
        <f aca="false">04_流量切替!$B$6-04_流量切替!$B$7</f>
        <v>0.0111537583513676</v>
      </c>
      <c r="C8" s="11" t="s">
        <v>259</v>
      </c>
      <c r="D8" s="6" t="s">
        <v>262</v>
      </c>
    </row>
    <row r="9" customFormat="false" ht="15" hidden="false" customHeight="false" outlineLevel="0" collapsed="false">
      <c r="A9" s="9" t="s">
        <v>263</v>
      </c>
      <c r="B9" s="29" t="n">
        <f aca="false">(01_入力!$B$20*04_流量切替!$B$6+01_入力!$B$21*04_流量切替!$B$7)/(01_入力!$B$20+01_入力!$B$21)</f>
        <v>0.0167306375270514</v>
      </c>
      <c r="C9" s="11" t="s">
        <v>259</v>
      </c>
    </row>
    <row r="10" customFormat="false" ht="15" hidden="false" customHeight="false" outlineLevel="0" collapsed="false">
      <c r="A10" s="9" t="s">
        <v>264</v>
      </c>
      <c r="B10" s="33" t="n">
        <f aca="false">04_流量切替!$B$6*03_湿度状態点!$D$49*1000</f>
        <v>0.973775979578685</v>
      </c>
      <c r="C10" s="11" t="s">
        <v>265</v>
      </c>
      <c r="D10" s="6" t="s">
        <v>266</v>
      </c>
    </row>
    <row r="11" customFormat="false" ht="15" hidden="false" customHeight="false" outlineLevel="0" collapsed="false">
      <c r="A11" s="9" t="s">
        <v>267</v>
      </c>
      <c r="B11" s="22" t="n">
        <f aca="false">04_流量切替!$B$6*03_湿度状態点!$F$50*8.31446261815324*03_湿度状態点!$F$9/03_湿度状態点!$F$11*60000</f>
        <v>26.7137175325929</v>
      </c>
      <c r="C11" s="11" t="s">
        <v>268</v>
      </c>
    </row>
    <row r="12" customFormat="false" ht="15" hidden="false" customHeight="false" outlineLevel="0" collapsed="false">
      <c r="A12" s="9" t="s">
        <v>269</v>
      </c>
      <c r="B12" s="21" t="n">
        <f aca="false">(01_入力!$B$20+01_入力!$B$21)/1000</f>
        <v>0.06</v>
      </c>
      <c r="C12" s="11" t="s">
        <v>270</v>
      </c>
    </row>
    <row r="13" customFormat="false" ht="15" hidden="false" customHeight="false" outlineLevel="0" collapsed="false">
      <c r="A13" s="9" t="s">
        <v>271</v>
      </c>
      <c r="B13" s="32" t="n">
        <f aca="false">1/04_流量切替!$B$12</f>
        <v>16.6666666666667</v>
      </c>
      <c r="C13" s="11" t="s">
        <v>272</v>
      </c>
    </row>
    <row r="14" customFormat="false" ht="15" hidden="false" customHeight="false" outlineLevel="0" collapsed="false">
      <c r="A14" s="9" t="s">
        <v>273</v>
      </c>
      <c r="B14" s="22" t="n">
        <f aca="false">01_入力!$B$20/(01_入力!$B$20+01_入力!$B$21)</f>
        <v>0.5</v>
      </c>
      <c r="C14" s="11" t="s">
        <v>49</v>
      </c>
    </row>
    <row r="16" customFormat="false" ht="15" hidden="false" customHeight="false" outlineLevel="0" collapsed="false">
      <c r="A16" s="7" t="s">
        <v>274</v>
      </c>
      <c r="B16" s="8"/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9" t="s">
        <v>275</v>
      </c>
      <c r="B17" s="21" t="n">
        <f aca="false">(03_湿度状態点!$D$36*(30.092+6.832514*(03_湿度状態点!$D$9/1000)+6.793435*(03_湿度状態点!$D$9/1000)^2-2.53448*(03_湿度状態点!$D$9/1000)^3+0.082139/(03_湿度状態点!$D$9/1000)^2)+(1-03_湿度状態点!$D$36)*((20.823075+0.059235957*03_湿度状態点!$D$9-0.00000051159127*03_湿度状態点!$D$9^2-0.000000048979736*03_湿度状態点!$D$9^3-03_湿度状態点!$D$9*0.0000000001*(-1131.240934/(03_湿度状態点!$D$9/100)^3+3608.789328/(03_湿度状態点!$D$9/100)^4-24219.432384/(03_湿度状態点!$D$9/100)^5)*03_湿度状態点!$D$11)))/(03_湿度状態点!$D$36*((30.092+6.832514*(03_湿度状態点!$D$9/1000)+6.793435*(03_湿度状態点!$D$9/1000)^2-2.53448*(03_湿度状態点!$D$9/1000)^3+0.082139/(03_湿度状態点!$D$9/1000)^2)-8.31446261815324)+(1-03_湿度状態点!$D$36)*(((20.823075+0.059235957*03_湿度状態点!$D$9-0.00000051159127*03_湿度状態点!$D$9^2-0.000000048979736*03_湿度状態点!$D$9^3)-8.31446261815324-03_湿度状態点!$D$9*8.31446261815324*(2*0.00000001*(565.620467/(03_湿度状態点!$D$9/100)^2-1202.929776/(03_湿度状態点!$D$9/100)^3+6054.858096/(03_湿度状態点!$D$9/100)^4)+03_湿度状態点!$D$9*0.0000000001*(-1131.240934/(03_湿度状態点!$D$9/100)^3+3608.789328/(03_湿度状態点!$D$9/100)^4-24219.432384/(03_湿度状態点!$D$9/100)^5))*(03_湿度状態点!$D$11/((1+0.000001*(75.188632-565.620467/(03_湿度状態点!$D$9/100)+601.464888/(03_湿度状態点!$D$9/100)^2-2018.286032/(03_湿度状態点!$D$9/100)^3)*03_湿度状態点!$D$11/(8.31446261815324*03_湿度状態点!$D$9))*8.31446261815324*03_湿度状態点!$D$9)))))</f>
        <v>1.29941661490587</v>
      </c>
      <c r="C17" s="11" t="s">
        <v>49</v>
      </c>
      <c r="D17" s="6" t="s">
        <v>276</v>
      </c>
    </row>
    <row r="18" customFormat="false" ht="15" hidden="false" customHeight="false" outlineLevel="0" collapsed="false">
      <c r="A18" s="9" t="s">
        <v>277</v>
      </c>
      <c r="B18" s="21" t="n">
        <f aca="false">SQRT(04_流量切替!$B$17*(2/(04_流量切替!$B$17+1))^((04_流量切替!$B$17+1)/(04_流量切替!$B$17-1)))</f>
        <v>0.667156892199983</v>
      </c>
      <c r="C18" s="11" t="s">
        <v>49</v>
      </c>
      <c r="D18" s="2" t="s">
        <v>278</v>
      </c>
    </row>
    <row r="19" customFormat="false" ht="15" hidden="false" customHeight="false" outlineLevel="0" collapsed="false">
      <c r="A19" s="9" t="s">
        <v>279</v>
      </c>
      <c r="B19" s="21" t="n">
        <f aca="false">03_湿度状態点!$D$50</f>
        <v>0.986198334779344</v>
      </c>
      <c r="C19" s="11" t="s">
        <v>49</v>
      </c>
    </row>
    <row r="20" customFormat="false" ht="15" hidden="false" customHeight="false" outlineLevel="0" collapsed="false">
      <c r="A20" s="9" t="s">
        <v>280</v>
      </c>
      <c r="B20" s="21" t="n">
        <f aca="false">04_流量切替!$B$18/SQRT(04_流量切替!$B$19)</f>
        <v>0.671809041565059</v>
      </c>
      <c r="C20" s="11" t="s">
        <v>49</v>
      </c>
      <c r="D20" s="6" t="s">
        <v>281</v>
      </c>
    </row>
    <row r="21" customFormat="false" ht="15" hidden="false" customHeight="false" outlineLevel="0" collapsed="false">
      <c r="A21" s="9" t="s">
        <v>282</v>
      </c>
      <c r="B21" s="28" t="n">
        <f aca="false">0.00000100697*SQRT(03_湿度状態点!$D$9)/EXP(0.235156-0.491266*LN(03_湿度状態点!$D$9/251.196)+0.05211155*LN(03_湿度状態点!$D$9/251.196)^2+0.05347906*LN(03_湿度状態点!$D$9/251.196)^3-0.01537102*LN(03_湿度状態点!$D$9/251.196)^4)</f>
        <v>1.53595210267327E-005</v>
      </c>
      <c r="C21" s="11" t="s">
        <v>283</v>
      </c>
      <c r="D21" s="2" t="s">
        <v>284</v>
      </c>
    </row>
    <row r="22" customFormat="false" ht="15" hidden="false" customHeight="false" outlineLevel="0" collapsed="false">
      <c r="A22" s="9" t="s">
        <v>285</v>
      </c>
      <c r="B22" s="22" t="n">
        <f aca="false">8.31446261815324/03_湿度状態点!$D$49</f>
        <v>190.469900283398</v>
      </c>
      <c r="C22" s="11" t="s">
        <v>286</v>
      </c>
    </row>
    <row r="23" customFormat="false" ht="15" hidden="false" customHeight="false" outlineLevel="0" collapsed="false">
      <c r="A23" s="9" t="s">
        <v>287</v>
      </c>
      <c r="B23" s="22" t="n">
        <f aca="false">(2/(04_流量切替!$B$17+1))^(04_流量切替!$B$17/(04_流量切替!$B$17-1))</f>
        <v>0.545833183152332</v>
      </c>
      <c r="C23" s="11" t="s">
        <v>49</v>
      </c>
    </row>
    <row r="24" customFormat="false" ht="15" hidden="false" customHeight="false" outlineLevel="0" collapsed="false">
      <c r="A24" s="9" t="s">
        <v>288</v>
      </c>
      <c r="B24" s="22" t="n">
        <f aca="false">01_入力!$B$9/01_入力!$B$12</f>
        <v>0.404416666666667</v>
      </c>
      <c r="C24" s="11" t="s">
        <v>49</v>
      </c>
    </row>
    <row r="25" customFormat="false" ht="15" hidden="false" customHeight="false" outlineLevel="0" collapsed="false">
      <c r="A25" s="9" t="s">
        <v>289</v>
      </c>
      <c r="B25" s="34" t="str">
        <f aca="false">IF(04_流量切替!$B$24&lt;04_流量切替!$B$23,"OK: チョーク（背圧比 "&amp;TEXT(04_流量切替!$B$24,"0.000")&amp;" &lt; "&amp;TEXT(04_流量切替!$B$23,"0.000")&amp;"）","NG: 非チョーク — 一次圧 p_1 を上げること")</f>
        <v>OK: チョーク（背圧比 0.404 &lt; 0.546）</v>
      </c>
      <c r="C25" s="9"/>
      <c r="D25" s="2" t="s">
        <v>290</v>
      </c>
    </row>
    <row r="27" customFormat="false" ht="15" hidden="false" customHeight="false" outlineLevel="0" collapsed="false">
      <c r="A27" s="6" t="s">
        <v>291</v>
      </c>
    </row>
    <row r="28" customFormat="false" ht="15" hidden="false" customHeight="false" outlineLevel="0" collapsed="false">
      <c r="A28" s="11" t="s">
        <v>292</v>
      </c>
      <c r="B28" s="29" t="n">
        <f aca="false">04_流量切替!$B$7*03_湿度状態点!$D$49</f>
        <v>0.000486887989789343</v>
      </c>
      <c r="C28" s="11" t="s">
        <v>293</v>
      </c>
    </row>
    <row r="29" customFormat="false" ht="15" hidden="false" customHeight="false" outlineLevel="0" collapsed="false">
      <c r="A29" s="11" t="s">
        <v>294</v>
      </c>
      <c r="B29" s="23" t="n">
        <f aca="false">0.99</f>
        <v>0.99</v>
      </c>
      <c r="C29" s="11" t="s">
        <v>49</v>
      </c>
    </row>
    <row r="30" customFormat="false" ht="15" hidden="false" customHeight="false" outlineLevel="0" collapsed="false">
      <c r="A30" s="11" t="s">
        <v>295</v>
      </c>
      <c r="B30" s="29" t="n">
        <f aca="false">SQRT(4*($B$28*SQRT(04_流量切替!$B$22*03_湿度状態点!$D$9)/($B$29*04_流量切替!$B$20*03_湿度状態点!$D$11))/PI())</f>
        <v>0.00086688734250336</v>
      </c>
      <c r="C30" s="11" t="s">
        <v>86</v>
      </c>
    </row>
    <row r="31" customFormat="false" ht="15" hidden="false" customHeight="false" outlineLevel="0" collapsed="false">
      <c r="A31" s="11" t="s">
        <v>296</v>
      </c>
      <c r="B31" s="23" t="n">
        <f aca="false">01_入力!$B$40-01_入力!$B$41*(4*$B$28/(PI()*$B$30*04_流量切替!$B$21))^-0.5</f>
        <v>0.983294227032389</v>
      </c>
      <c r="C31" s="11" t="s">
        <v>49</v>
      </c>
    </row>
    <row r="32" customFormat="false" ht="15" hidden="false" customHeight="false" outlineLevel="0" collapsed="false">
      <c r="A32" s="11" t="s">
        <v>297</v>
      </c>
      <c r="B32" s="29" t="n">
        <f aca="false">SQRT(4*($B$28*SQRT(04_流量切替!$B$22*03_湿度状態点!$D$9)/($B$31*04_流量切替!$B$20*03_湿度状態点!$D$11))/PI())</f>
        <v>0.000869838276320104</v>
      </c>
      <c r="C32" s="11" t="s">
        <v>86</v>
      </c>
    </row>
    <row r="33" customFormat="false" ht="15" hidden="false" customHeight="false" outlineLevel="0" collapsed="false">
      <c r="A33" s="11" t="s">
        <v>298</v>
      </c>
      <c r="B33" s="23" t="n">
        <f aca="false">01_入力!$B$40-01_入力!$B$41*(4*$B$28/(PI()*$B$32*04_流量切替!$B$21))^-0.5</f>
        <v>0.983272789876157</v>
      </c>
      <c r="C33" s="11" t="s">
        <v>49</v>
      </c>
    </row>
    <row r="34" customFormat="false" ht="15" hidden="false" customHeight="false" outlineLevel="0" collapsed="false">
      <c r="A34" s="11" t="s">
        <v>299</v>
      </c>
      <c r="B34" s="29" t="n">
        <f aca="false">SQRT(4*($B$28*SQRT(04_流量切替!$B$22*03_湿度状態点!$D$9)/($B$33*04_流量切替!$B$20*03_湿度状態点!$D$11))/PI())</f>
        <v>0.000869847758305971</v>
      </c>
      <c r="C34" s="11" t="s">
        <v>86</v>
      </c>
    </row>
    <row r="35" customFormat="false" ht="15" hidden="false" customHeight="false" outlineLevel="0" collapsed="false">
      <c r="A35" s="11" t="s">
        <v>300</v>
      </c>
      <c r="B35" s="23" t="n">
        <f aca="false">01_入力!$B$40-01_入力!$B$41*(4*$B$28/(PI()*$B$34*04_流量切替!$B$21))^-0.5</f>
        <v>0.983272721052616</v>
      </c>
      <c r="C35" s="11" t="s">
        <v>49</v>
      </c>
    </row>
    <row r="36" customFormat="false" ht="15" hidden="false" customHeight="false" outlineLevel="0" collapsed="false">
      <c r="A36" s="11" t="s">
        <v>301</v>
      </c>
      <c r="B36" s="32" t="n">
        <f aca="false">SQRT(4*($B$28*SQRT(04_流量切替!$B$22*03_湿度状態点!$D$9)/($B$35*04_流量切替!$B$20*03_湿度状態点!$D$11))/PI())*1000</f>
        <v>0.869847788748187</v>
      </c>
      <c r="C36" s="11" t="s">
        <v>84</v>
      </c>
      <c r="D36" s="2" t="s">
        <v>302</v>
      </c>
    </row>
    <row r="37" customFormat="false" ht="15" hidden="false" customHeight="false" outlineLevel="0" collapsed="false">
      <c r="A37" s="11" t="s">
        <v>303</v>
      </c>
      <c r="B37" s="35" t="n">
        <f aca="false">4*$B$28/(PI()*$B$36/1000*04_流量切替!$B$21)</f>
        <v>46400.0281303849</v>
      </c>
      <c r="C37" s="11" t="s">
        <v>49</v>
      </c>
      <c r="D37" s="6" t="s">
        <v>304</v>
      </c>
    </row>
    <row r="39" customFormat="false" ht="15" hidden="false" customHeight="false" outlineLevel="0" collapsed="false">
      <c r="A39" s="6" t="s">
        <v>305</v>
      </c>
    </row>
    <row r="40" customFormat="false" ht="15" hidden="false" customHeight="false" outlineLevel="0" collapsed="false">
      <c r="A40" s="11" t="s">
        <v>306</v>
      </c>
      <c r="B40" s="29" t="n">
        <f aca="false">04_流量切替!$B$8*03_湿度状態点!$D$49</f>
        <v>0.000486887989789343</v>
      </c>
      <c r="C40" s="11" t="s">
        <v>293</v>
      </c>
    </row>
    <row r="41" customFormat="false" ht="15" hidden="false" customHeight="false" outlineLevel="0" collapsed="false">
      <c r="A41" s="11" t="s">
        <v>307</v>
      </c>
      <c r="B41" s="23" t="n">
        <f aca="false">0.99</f>
        <v>0.99</v>
      </c>
      <c r="C41" s="11" t="s">
        <v>49</v>
      </c>
    </row>
    <row r="42" customFormat="false" ht="15" hidden="false" customHeight="false" outlineLevel="0" collapsed="false">
      <c r="A42" s="11" t="s">
        <v>308</v>
      </c>
      <c r="B42" s="29" t="n">
        <f aca="false">SQRT(4*($B$40*SQRT(04_流量切替!$B$22*03_湿度状態点!$D$9)/($B$41*04_流量切替!$B$20*03_湿度状態点!$D$11))/PI())</f>
        <v>0.00086688734250336</v>
      </c>
      <c r="C42" s="11" t="s">
        <v>86</v>
      </c>
    </row>
    <row r="43" customFormat="false" ht="15" hidden="false" customHeight="false" outlineLevel="0" collapsed="false">
      <c r="A43" s="11" t="s">
        <v>309</v>
      </c>
      <c r="B43" s="23" t="n">
        <f aca="false">01_入力!$B$40-01_入力!$B$41*(4*$B$40/(PI()*$B$42*04_流量切替!$B$21))^-0.5</f>
        <v>0.983294227032389</v>
      </c>
      <c r="C43" s="11" t="s">
        <v>49</v>
      </c>
    </row>
    <row r="44" customFormat="false" ht="15" hidden="false" customHeight="false" outlineLevel="0" collapsed="false">
      <c r="A44" s="11" t="s">
        <v>310</v>
      </c>
      <c r="B44" s="29" t="n">
        <f aca="false">SQRT(4*($B$40*SQRT(04_流量切替!$B$22*03_湿度状態点!$D$9)/($B$43*04_流量切替!$B$20*03_湿度状態点!$D$11))/PI())</f>
        <v>0.000869838276320104</v>
      </c>
      <c r="C44" s="11" t="s">
        <v>86</v>
      </c>
    </row>
    <row r="45" customFormat="false" ht="15" hidden="false" customHeight="false" outlineLevel="0" collapsed="false">
      <c r="A45" s="11" t="s">
        <v>311</v>
      </c>
      <c r="B45" s="23" t="n">
        <f aca="false">01_入力!$B$40-01_入力!$B$41*(4*$B$40/(PI()*$B$44*04_流量切替!$B$21))^-0.5</f>
        <v>0.983272789876157</v>
      </c>
      <c r="C45" s="11" t="s">
        <v>49</v>
      </c>
    </row>
    <row r="46" customFormat="false" ht="15" hidden="false" customHeight="false" outlineLevel="0" collapsed="false">
      <c r="A46" s="11" t="s">
        <v>312</v>
      </c>
      <c r="B46" s="29" t="n">
        <f aca="false">SQRT(4*($B$40*SQRT(04_流量切替!$B$22*03_湿度状態点!$D$9)/($B$45*04_流量切替!$B$20*03_湿度状態点!$D$11))/PI())</f>
        <v>0.000869847758305971</v>
      </c>
      <c r="C46" s="11" t="s">
        <v>86</v>
      </c>
    </row>
    <row r="47" customFormat="false" ht="15" hidden="false" customHeight="false" outlineLevel="0" collapsed="false">
      <c r="A47" s="11" t="s">
        <v>313</v>
      </c>
      <c r="B47" s="23" t="n">
        <f aca="false">01_入力!$B$40-01_入力!$B$41*(4*$B$40/(PI()*$B$46*04_流量切替!$B$21))^-0.5</f>
        <v>0.983272721052616</v>
      </c>
      <c r="C47" s="11" t="s">
        <v>49</v>
      </c>
    </row>
    <row r="48" customFormat="false" ht="15" hidden="false" customHeight="false" outlineLevel="0" collapsed="false">
      <c r="A48" s="11" t="s">
        <v>314</v>
      </c>
      <c r="B48" s="32" t="n">
        <f aca="false">SQRT(4*($B$40*SQRT(04_流量切替!$B$22*03_湿度状態点!$D$9)/($B$47*04_流量切替!$B$20*03_湿度状態点!$D$11))/PI())*1000</f>
        <v>0.869847788748187</v>
      </c>
      <c r="C48" s="11" t="s">
        <v>84</v>
      </c>
      <c r="D48" s="2" t="s">
        <v>302</v>
      </c>
    </row>
    <row r="49" customFormat="false" ht="15" hidden="false" customHeight="false" outlineLevel="0" collapsed="false">
      <c r="A49" s="11" t="s">
        <v>315</v>
      </c>
      <c r="B49" s="35" t="n">
        <f aca="false">4*$B$40/(PI()*$B$48/1000*04_流量切替!$B$21)</f>
        <v>46400.0281303849</v>
      </c>
      <c r="C49" s="11" t="s">
        <v>49</v>
      </c>
      <c r="D49" s="6" t="s">
        <v>304</v>
      </c>
    </row>
    <row r="51" customFormat="false" ht="15" hidden="false" customHeight="false" outlineLevel="0" collapsed="false">
      <c r="A51" s="6" t="s">
        <v>316</v>
      </c>
    </row>
    <row r="52" customFormat="false" ht="15" hidden="false" customHeight="false" outlineLevel="0" collapsed="false">
      <c r="A52" s="6" t="s">
        <v>317</v>
      </c>
    </row>
    <row r="54" customFormat="false" ht="15" hidden="false" customHeight="false" outlineLevel="0" collapsed="false">
      <c r="A54" s="7" t="s">
        <v>318</v>
      </c>
      <c r="B54" s="8"/>
      <c r="C54" s="8"/>
      <c r="D54" s="8"/>
      <c r="E54" s="8"/>
      <c r="F54" s="8"/>
      <c r="G54" s="8"/>
      <c r="H54" s="8"/>
      <c r="I54" s="8"/>
    </row>
    <row r="55" customFormat="false" ht="15" hidden="false" customHeight="false" outlineLevel="0" collapsed="false">
      <c r="A55" s="9" t="s">
        <v>319</v>
      </c>
      <c r="B55" s="13" t="n">
        <f aca="false">04_流量切替!$B$12*1000*0.1</f>
        <v>6</v>
      </c>
      <c r="C55" s="11" t="s">
        <v>68</v>
      </c>
    </row>
    <row r="56" customFormat="false" ht="15" hidden="false" customHeight="false" outlineLevel="0" collapsed="false">
      <c r="A56" s="9" t="s">
        <v>320</v>
      </c>
      <c r="B56" s="34" t="str">
        <f aca="false">IF(01_入力!$B$30&lt;=04_流量切替!$B$55,"OK: 弁 "&amp;TEXT(01_入力!$B$30,"0.0")&amp;" ms ≤ 要求 "&amp;TEXT(04_流量切替!$B$55,"0.0")&amp;" ms","NG: 弁が遅い")</f>
        <v>OK: 弁 1.0 ms ≤ 要求 6.0 ms</v>
      </c>
      <c r="C56" s="9"/>
      <c r="D56" s="2" t="s">
        <v>321</v>
      </c>
    </row>
    <row r="57" customFormat="false" ht="15" hidden="false" customHeight="false" outlineLevel="0" collapsed="false">
      <c r="A57" s="9" t="s">
        <v>322</v>
      </c>
      <c r="B57" s="35" t="n">
        <f aca="false">300</f>
        <v>300</v>
      </c>
      <c r="C57" s="11" t="s">
        <v>68</v>
      </c>
      <c r="D57" s="2" t="s">
        <v>323</v>
      </c>
    </row>
    <row r="58" customFormat="false" ht="15" hidden="false" customHeight="false" outlineLevel="0" collapsed="false">
      <c r="A58" s="11" t="s">
        <v>324</v>
      </c>
      <c r="B58" s="36" t="n">
        <f aca="false">$B$57/(04_流量切替!$B$12*1000)</f>
        <v>5</v>
      </c>
      <c r="C58" s="9" t="s">
        <v>325</v>
      </c>
      <c r="D58" s="6" t="s">
        <v>326</v>
      </c>
    </row>
    <row r="59" customFormat="false" ht="15" hidden="false" customHeight="false" outlineLevel="0" collapsed="false">
      <c r="A59" s="9" t="s">
        <v>327</v>
      </c>
      <c r="B59" s="35" t="n">
        <f aca="false">15</f>
        <v>15</v>
      </c>
      <c r="C59" s="11" t="s">
        <v>68</v>
      </c>
      <c r="D59" s="6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82"/>
  </cols>
  <sheetData>
    <row r="1" customFormat="false" ht="19.4" hidden="false" customHeight="false" outlineLevel="0" collapsed="false">
      <c r="A1" s="1" t="s">
        <v>329</v>
      </c>
    </row>
    <row r="2" customFormat="false" ht="15" hidden="false" customHeight="false" outlineLevel="0" collapsed="false">
      <c r="A2" s="6" t="s">
        <v>330</v>
      </c>
    </row>
    <row r="3" customFormat="false" ht="15" hidden="false" customHeight="false" outlineLevel="0" collapsed="false">
      <c r="A3" s="6" t="s">
        <v>331</v>
      </c>
    </row>
    <row r="5" customFormat="false" ht="15" hidden="false" customHeight="false" outlineLevel="0" collapsed="false">
      <c r="A5" s="7" t="s">
        <v>332</v>
      </c>
      <c r="B5" s="8"/>
      <c r="C5" s="8"/>
      <c r="D5" s="8"/>
    </row>
    <row r="6" customFormat="false" ht="15" hidden="false" customHeight="false" outlineLevel="0" collapsed="false">
      <c r="A6" s="9" t="s">
        <v>333</v>
      </c>
      <c r="B6" s="21" t="n">
        <f aca="false">(03_湿度状態点!$F$36*(30.092+6.832514*(03_湿度状態点!$F$9/1000)+6.793435*(03_湿度状態点!$F$9/1000)^2-2.53448*(03_湿度状態点!$F$9/1000)^3+0.082139/(03_湿度状態点!$F$9/1000)^2)+(1-03_湿度状態点!$F$36)*((20.823075+0.059235957*03_湿度状態点!$F$9-0.00000051159127*03_湿度状態点!$F$9^2-0.000000048979736*03_湿度状態点!$F$9^3-03_湿度状態点!$F$9*0.0000000001*(-1131.240934/(03_湿度状態点!$F$9/100)^3+3608.789328/(03_湿度状態点!$F$9/100)^4-24219.432384/(03_湿度状態点!$F$9/100)^5)*03_湿度状態点!$F$11)))/(03_湿度状態点!$F$36*((30.092+6.832514*(03_湿度状態点!$F$9/1000)+6.793435*(03_湿度状態点!$F$9/1000)^2-2.53448*(03_湿度状態点!$F$9/1000)^3+0.082139/(03_湿度状態点!$F$9/1000)^2)-8.31446261815324)+(1-03_湿度状態点!$F$36)*(((20.823075+0.059235957*03_湿度状態点!$F$9-0.00000051159127*03_湿度状態点!$F$9^2-0.000000048979736*03_湿度状態点!$F$9^3)-8.31446261815324-03_湿度状態点!$F$9*8.31446261815324*(2*0.00000001*(565.620467/(03_湿度状態点!$F$9/100)^2-1202.929776/(03_湿度状態点!$F$9/100)^3+6054.858096/(03_湿度状態点!$F$9/100)^4)+03_湿度状態点!$F$9*0.0000000001*(-1131.240934/(03_湿度状態点!$F$9/100)^3+3608.789328/(03_湿度状態点!$F$9/100)^4-24219.432384/(03_湿度状態点!$F$9/100)^5))*(03_湿度状態点!$F$11/((1+0.000001*(75.188632-565.620467/(03_湿度状態点!$F$9/100)+601.464888/(03_湿度状態点!$F$9/100)^2-2018.286032/(03_湿度状態点!$F$9/100)^3)*03_湿度状態点!$F$11/(8.31446261815324*03_湿度状態点!$F$9))*8.31446261815324*03_湿度状態点!$F$9)))))</f>
        <v>1.29812025437708</v>
      </c>
      <c r="C6" s="11" t="s">
        <v>49</v>
      </c>
      <c r="D6" s="2" t="s">
        <v>334</v>
      </c>
    </row>
    <row r="7" customFormat="false" ht="15" hidden="false" customHeight="false" outlineLevel="0" collapsed="false">
      <c r="A7" s="9" t="s">
        <v>335</v>
      </c>
      <c r="B7" s="13" t="n">
        <f aca="false">SQRT(05_圧力安定!$B$6*8.31446261815324*03_湿度状態点!$F$9*(1+2*(0.000001*(75.188632-565.620467/(03_湿度状態点!$F$9/100)+601.464888/(03_湿度状態点!$F$9/100)^2-2018.286032/(03_湿度状態点!$F$9/100)^3))*03_湿度状態点!$F$11/(03_湿度状態点!$F$50*8.31446261815324*03_湿度状態点!$F$9))/03_湿度状態点!$F$49)</f>
        <v>267.494536619162</v>
      </c>
      <c r="C7" s="11" t="s">
        <v>336</v>
      </c>
      <c r="D7" s="6" t="s">
        <v>337</v>
      </c>
    </row>
    <row r="8" customFormat="false" ht="15" hidden="false" customHeight="false" outlineLevel="0" collapsed="false">
      <c r="A8" s="9" t="s">
        <v>338</v>
      </c>
      <c r="B8" s="29" t="n">
        <f aca="false">01_入力!$B$33*SQRT(2*05_圧力安定!$B$6/((05_圧力安定!$B$6-1)*(8.31446261815324/03_湿度状態点!$F$49)*03_湿度状態点!$F$9))/SQRT(03_湿度状態点!$F$50)</f>
        <v>0.0077683940698796</v>
      </c>
      <c r="C8" s="11" t="s">
        <v>49</v>
      </c>
      <c r="D8" s="6" t="s">
        <v>339</v>
      </c>
    </row>
    <row r="10" customFormat="false" ht="15" hidden="false" customHeight="false" outlineLevel="0" collapsed="false">
      <c r="A10" s="7" t="s">
        <v>340</v>
      </c>
      <c r="B10" s="8"/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9" t="s">
        <v>341</v>
      </c>
      <c r="B11" s="29" t="n">
        <f aca="false">01_入力!$B$27/1000000</f>
        <v>0.0001</v>
      </c>
      <c r="C11" s="11" t="s">
        <v>111</v>
      </c>
    </row>
    <row r="12" customFormat="false" ht="15" hidden="false" customHeight="false" outlineLevel="0" collapsed="false">
      <c r="A12" s="9" t="s">
        <v>342</v>
      </c>
      <c r="B12" s="28" t="n">
        <f aca="false">05_圧力安定!$B$11/(01_入力!$B$32*8.31446261815324*03_湿度状態点!$F$9)</f>
        <v>3.18043267112574E-008</v>
      </c>
      <c r="C12" s="11" t="s">
        <v>343</v>
      </c>
      <c r="D12" s="2" t="s">
        <v>344</v>
      </c>
    </row>
    <row r="13" customFormat="false" ht="15" hidden="false" customHeight="false" outlineLevel="0" collapsed="false">
      <c r="A13" s="9" t="s">
        <v>345</v>
      </c>
      <c r="B13" s="28" t="n">
        <f aca="false">04_流量切替!$B$14*(1-04_流量切替!$B$14)*04_流量切替!$B$8*04_流量切替!$B$12</f>
        <v>0.000167306375270514</v>
      </c>
      <c r="C13" s="11" t="s">
        <v>346</v>
      </c>
    </row>
    <row r="14" customFormat="false" ht="15" hidden="false" customHeight="false" outlineLevel="0" collapsed="false">
      <c r="A14" s="9" t="s">
        <v>347</v>
      </c>
      <c r="B14" s="32" t="n">
        <f aca="false">05_圧力安定!$B$13/05_圧力安定!$B$12/1000</f>
        <v>5.26049102656507</v>
      </c>
      <c r="C14" s="11" t="s">
        <v>42</v>
      </c>
    </row>
    <row r="15" customFormat="false" ht="15" hidden="false" customHeight="false" outlineLevel="0" collapsed="false">
      <c r="A15" s="9" t="s">
        <v>348</v>
      </c>
      <c r="B15" s="37" t="n">
        <f aca="false">05_圧力安定!$B$14/01_入力!$B$6*100</f>
        <v>26.3024551328254</v>
      </c>
      <c r="C15" s="11" t="s">
        <v>349</v>
      </c>
    </row>
    <row r="16" customFormat="false" ht="15" hidden="false" customHeight="false" outlineLevel="0" collapsed="false">
      <c r="A16" s="11" t="s">
        <v>350</v>
      </c>
      <c r="B16" s="20" t="n">
        <f aca="false">04_流量切替!$B$14*(1-04_流量切替!$B$14)*04_流量切替!$B$8*04_流量切替!$B$12*01_入力!$B$32*8.31446261815324*03_湿度状態点!$F$9/(01_入力!$B$6*1000*0.01)*1000000</f>
        <v>2630.24551328254</v>
      </c>
      <c r="C16" s="11" t="s">
        <v>81</v>
      </c>
      <c r="D16" s="6" t="s">
        <v>351</v>
      </c>
    </row>
    <row r="17" customFormat="false" ht="15" hidden="false" customHeight="false" outlineLevel="0" collapsed="false">
      <c r="A17" s="9" t="s">
        <v>352</v>
      </c>
      <c r="B17" s="13" t="n">
        <f aca="false">$B$16/1000000/(04_流量切替!$B$9*03_湿度状態点!$F$50*8.31446261815324*03_湿度状態点!$F$9/03_湿度状態点!$F$11)</f>
        <v>7.87683858698715</v>
      </c>
      <c r="C17" s="11" t="s">
        <v>270</v>
      </c>
    </row>
    <row r="18" customFormat="false" ht="15" hidden="false" customHeight="false" outlineLevel="0" collapsed="false">
      <c r="A18" s="9" t="s">
        <v>353</v>
      </c>
      <c r="B18" s="36" t="n">
        <f aca="false">$B$17/04_流量切替!$B$12</f>
        <v>131.280643116452</v>
      </c>
      <c r="C18" s="9" t="s">
        <v>325</v>
      </c>
      <c r="D18" s="6" t="s">
        <v>354</v>
      </c>
    </row>
    <row r="20" customFormat="false" ht="15" hidden="false" customHeight="false" outlineLevel="0" collapsed="false">
      <c r="A20" s="7" t="s">
        <v>355</v>
      </c>
      <c r="B20" s="8"/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9" t="s">
        <v>356</v>
      </c>
      <c r="B21" s="22" t="n">
        <f aca="false">01_入力!$B$5/01_入力!$B$9</f>
        <v>0.835153513290748</v>
      </c>
      <c r="C21" s="11" t="s">
        <v>49</v>
      </c>
    </row>
    <row r="22" customFormat="false" ht="15" hidden="false" customHeight="false" outlineLevel="0" collapsed="false">
      <c r="A22" s="9" t="s">
        <v>357</v>
      </c>
      <c r="B22" s="22" t="n">
        <f aca="false">(2/(05_圧力安定!$B$6+1))^(05_圧力安定!$B$6/(05_圧力安定!$B$6-1))</f>
        <v>0.546067664174966</v>
      </c>
      <c r="C22" s="11" t="s">
        <v>49</v>
      </c>
      <c r="D22" s="6" t="s">
        <v>358</v>
      </c>
    </row>
    <row r="23" customFormat="false" ht="15" hidden="false" customHeight="false" outlineLevel="0" collapsed="false">
      <c r="A23" s="9" t="s">
        <v>359</v>
      </c>
      <c r="B23" s="21" t="n">
        <f aca="false">SQRT(MAX((05_圧力安定!$B$21)^(2/05_圧力安定!$B$6)-(05_圧力安定!$B$21)^((1+05_圧力安定!$B$6)/05_圧力安定!$B$6),0))</f>
        <v>0.175226549552631</v>
      </c>
      <c r="C23" s="11" t="s">
        <v>49</v>
      </c>
    </row>
    <row r="24" customFormat="false" ht="15" hidden="false" customHeight="false" outlineLevel="0" collapsed="false">
      <c r="A24" s="11" t="s">
        <v>360</v>
      </c>
      <c r="B24" s="22" t="n">
        <f aca="false">SQRT(4*(04_流量切替!$B$7*03_湿度状態点!$F$49/(05_圧力安定!$B$8*03_湿度状態点!$F$11*05_圧力安定!$B$23))/PI())*1000</f>
        <v>1.9374426755494</v>
      </c>
      <c r="C24" s="11" t="s">
        <v>84</v>
      </c>
    </row>
    <row r="25" customFormat="false" ht="15" hidden="false" customHeight="false" outlineLevel="0" collapsed="false">
      <c r="A25" s="9" t="s">
        <v>361</v>
      </c>
      <c r="B25" s="19" t="n">
        <f aca="false">01_入力!$B$5*1000+(03_湿度状態点!$F$11-01_入力!$B$5*1000)*(04_流量切替!$B$6/04_流量切替!$B$7)^2</f>
        <v>181325</v>
      </c>
      <c r="C25" s="11" t="s">
        <v>178</v>
      </c>
    </row>
    <row r="26" customFormat="false" ht="15" hidden="false" customHeight="false" outlineLevel="0" collapsed="false">
      <c r="A26" s="9" t="s">
        <v>362</v>
      </c>
      <c r="B26" s="19" t="n">
        <f aca="false">$B$25*(04_流量切替!$B$6*03_湿度状態点!$F$49/(05_圧力安定!$B$8*$B$25*SQRT(MAX(((01_入力!$B$5*1000/$B$25))^(2/05_圧力安定!$B$6)-((01_入力!$B$5*1000/$B$25))^((1+05_圧力安定!$B$6)/05_圧力安定!$B$6),0))*PI()*(05_圧力安定!$B$24/1000)^2/4))</f>
        <v>188210.196812733</v>
      </c>
      <c r="C26" s="11" t="s">
        <v>178</v>
      </c>
    </row>
    <row r="27" customFormat="false" ht="15" hidden="false" customHeight="false" outlineLevel="0" collapsed="false">
      <c r="A27" s="9" t="s">
        <v>363</v>
      </c>
      <c r="B27" s="19" t="n">
        <f aca="false">$B$26*(04_流量切替!$B$6*03_湿度状態点!$F$49/(05_圧力安定!$B$8*$B$26*SQRT(MAX(((01_入力!$B$5*1000/$B$26))^(2/05_圧力安定!$B$6)-((01_入力!$B$5*1000/$B$26))^((1+05_圧力安定!$B$6)/05_圧力安定!$B$6),0))*PI()*(05_圧力安定!$B$24/1000)^2/4))</f>
        <v>188165.730753418</v>
      </c>
      <c r="C27" s="11" t="s">
        <v>178</v>
      </c>
    </row>
    <row r="28" customFormat="false" ht="15" hidden="false" customHeight="false" outlineLevel="0" collapsed="false">
      <c r="A28" s="9" t="s">
        <v>364</v>
      </c>
      <c r="B28" s="19" t="n">
        <f aca="false">$B$27*(04_流量切替!$B$6*03_湿度状態点!$F$49/(05_圧力安定!$B$8*$B$27*SQRT(MAX(((01_入力!$B$5*1000/$B$27))^(2/05_圧力安定!$B$6)-((01_入力!$B$5*1000/$B$27))^((1+05_圧力安定!$B$6)/05_圧力安定!$B$6),0))*PI()*(05_圧力安定!$B$24/1000)^2/4))</f>
        <v>188164.8955593</v>
      </c>
      <c r="C28" s="11" t="s">
        <v>178</v>
      </c>
    </row>
    <row r="29" customFormat="false" ht="15" hidden="false" customHeight="false" outlineLevel="0" collapsed="false">
      <c r="A29" s="9" t="s">
        <v>365</v>
      </c>
      <c r="B29" s="37" t="n">
        <f aca="false">($B$28-01_入力!$B$5*1000)/1000</f>
        <v>86.8398955592999</v>
      </c>
      <c r="C29" s="11" t="s">
        <v>42</v>
      </c>
      <c r="D29" s="6" t="s">
        <v>366</v>
      </c>
    </row>
    <row r="31" customFormat="false" ht="15" hidden="false" customHeight="false" outlineLevel="0" collapsed="false">
      <c r="A31" s="7" t="s">
        <v>367</v>
      </c>
      <c r="B31" s="8"/>
      <c r="C31" s="8"/>
      <c r="D31" s="8"/>
      <c r="E31" s="8"/>
      <c r="F31" s="8"/>
      <c r="G31" s="8"/>
      <c r="H31" s="8"/>
      <c r="I31" s="8"/>
    </row>
    <row r="32" customFormat="false" ht="15" hidden="false" customHeight="false" outlineLevel="0" collapsed="false">
      <c r="A32" s="6" t="s">
        <v>368</v>
      </c>
    </row>
    <row r="34" customFormat="false" ht="15" hidden="false" customHeight="false" outlineLevel="0" collapsed="false">
      <c r="A34" s="9" t="s">
        <v>369</v>
      </c>
      <c r="B34" s="32" t="n">
        <f aca="false">05_圧力安定!$B$24</f>
        <v>1.9374426755494</v>
      </c>
      <c r="C34" s="11" t="s">
        <v>84</v>
      </c>
    </row>
    <row r="35" customFormat="false" ht="15" hidden="false" customHeight="false" outlineLevel="0" collapsed="false">
      <c r="A35" s="9" t="s">
        <v>370</v>
      </c>
      <c r="B35" s="32" t="n">
        <f aca="false">SQRT(4*(04_流量切替!$B$8*03_湿度状態点!$F$49/(05_圧力安定!$B$8*03_湿度状態点!$F$11*05_圧力安定!$B$23))/PI())*1000</f>
        <v>1.9374426755494</v>
      </c>
      <c r="C35" s="11" t="s">
        <v>84</v>
      </c>
    </row>
    <row r="36" customFormat="false" ht="15" hidden="false" customHeight="false" outlineLevel="0" collapsed="false">
      <c r="A36" s="9" t="s">
        <v>371</v>
      </c>
      <c r="B36" s="22" t="n">
        <f aca="false">SQRT(4*(04_流量切替!$B$6*03_湿度状態点!$F$49/(05_圧力安定!$B$8*03_湿度状態点!$F$11*05_圧力安定!$B$23))/PI())*1000</f>
        <v>2.73995770808237</v>
      </c>
      <c r="C36" s="11" t="s">
        <v>84</v>
      </c>
    </row>
    <row r="37" customFormat="false" ht="15" hidden="false" customHeight="false" outlineLevel="0" collapsed="false">
      <c r="A37" s="9" t="s">
        <v>372</v>
      </c>
      <c r="B37" s="32" t="n">
        <f aca="false">04_流量切替!$B$8*01_入力!$B$31/1000*01_入力!$B$32*8.31446261815324*03_湿度状態点!$F$9/05_圧力安定!$B$11/1000</f>
        <v>0.175349700885502</v>
      </c>
      <c r="C37" s="11" t="s">
        <v>42</v>
      </c>
      <c r="D37" s="6" t="s">
        <v>373</v>
      </c>
    </row>
    <row r="38" customFormat="false" ht="15" hidden="false" customHeight="false" outlineLevel="0" collapsed="false">
      <c r="A38" s="9" t="s">
        <v>348</v>
      </c>
      <c r="B38" s="37" t="n">
        <f aca="false">05_圧力安定!$B$37/01_入力!$B$6*100</f>
        <v>0.876748504427512</v>
      </c>
      <c r="C38" s="11" t="s">
        <v>349</v>
      </c>
    </row>
    <row r="39" customFormat="false" ht="15" hidden="false" customHeight="false" outlineLevel="0" collapsed="false">
      <c r="A39" s="9" t="s">
        <v>374</v>
      </c>
      <c r="B39" s="36" t="n">
        <f aca="false">05_圧力安定!$B$14/05_圧力安定!$B$37</f>
        <v>30</v>
      </c>
      <c r="C39" s="9" t="s">
        <v>325</v>
      </c>
    </row>
    <row r="40" customFormat="false" ht="15" hidden="false" customHeight="false" outlineLevel="0" collapsed="false">
      <c r="A40" s="9" t="s">
        <v>375</v>
      </c>
      <c r="B40" s="22" t="n">
        <f aca="false">05_圧力安定!$B$37*03_湿度状態点!$F$35/(01_入力!$B$9)*100</f>
        <v>0.101170644112246</v>
      </c>
      <c r="C40" s="11" t="s">
        <v>251</v>
      </c>
      <c r="D40" s="2" t="s">
        <v>376</v>
      </c>
    </row>
    <row r="42" customFormat="false" ht="15" hidden="false" customHeight="false" outlineLevel="0" collapsed="false">
      <c r="A42" s="7" t="s">
        <v>377</v>
      </c>
      <c r="B42" s="8"/>
      <c r="C42" s="8"/>
      <c r="D42" s="8"/>
      <c r="E42" s="8"/>
      <c r="F42" s="8"/>
      <c r="G42" s="8"/>
      <c r="H42" s="8"/>
      <c r="I42" s="8"/>
    </row>
    <row r="43" customFormat="false" ht="15" hidden="false" customHeight="false" outlineLevel="0" collapsed="false">
      <c r="A43" s="9" t="s">
        <v>378</v>
      </c>
      <c r="B43" s="13" t="n">
        <f aca="false">05_圧力安定!$B$7</f>
        <v>267.494536619162</v>
      </c>
      <c r="C43" s="11" t="s">
        <v>336</v>
      </c>
      <c r="D43" s="6" t="s">
        <v>379</v>
      </c>
    </row>
    <row r="44" customFormat="false" ht="15" hidden="false" customHeight="false" outlineLevel="0" collapsed="false">
      <c r="A44" s="9" t="s">
        <v>380</v>
      </c>
      <c r="B44" s="13" t="n">
        <f aca="false">SQRT(1.4*8.31446261815324*03_湿度状態点!$F$9/03_湿度状態点!$F$49)</f>
        <v>279.590328472409</v>
      </c>
      <c r="C44" s="11" t="s">
        <v>336</v>
      </c>
      <c r="D44" s="2" t="s">
        <v>381</v>
      </c>
    </row>
    <row r="45" customFormat="false" ht="15" hidden="false" customHeight="false" outlineLevel="0" collapsed="false">
      <c r="A45" s="9" t="s">
        <v>382</v>
      </c>
      <c r="B45" s="36" t="n">
        <f aca="false">05_圧力安定!$B$7*01_入力!$B$30/1000/10*1000</f>
        <v>26.7494536619162</v>
      </c>
      <c r="C45" s="11" t="s">
        <v>84</v>
      </c>
      <c r="D45" s="6" t="s">
        <v>383</v>
      </c>
    </row>
    <row r="46" customFormat="false" ht="15" hidden="false" customHeight="false" outlineLevel="0" collapsed="false">
      <c r="A46" s="9" t="s">
        <v>384</v>
      </c>
      <c r="B46" s="20" t="n">
        <f aca="false">01_入力!$B$29*1000</f>
        <v>25</v>
      </c>
      <c r="C46" s="11" t="s">
        <v>84</v>
      </c>
    </row>
    <row r="47" customFormat="false" ht="15" hidden="false" customHeight="false" outlineLevel="0" collapsed="false">
      <c r="A47" s="9" t="s">
        <v>385</v>
      </c>
      <c r="B47" s="34" t="str">
        <f aca="false">IF(01_入力!$B$29*1000&lt;=$B$45,"OK: 集中定数近似が成立","注意: 伝送線路効果あり — 配管短縮かエッジ鈍化を検討")</f>
        <v>OK: 集中定数近似が成立</v>
      </c>
      <c r="C47" s="9"/>
    </row>
    <row r="48" customFormat="false" ht="15" hidden="false" customHeight="false" outlineLevel="0" collapsed="false">
      <c r="A48" s="11" t="s">
        <v>386</v>
      </c>
      <c r="B48" s="20" t="n">
        <f aca="false">05_圧力安定!$B$7/(4*01_入力!$B$29)</f>
        <v>2674.94536619162</v>
      </c>
      <c r="C48" s="11" t="s">
        <v>272</v>
      </c>
      <c r="D48" s="6" t="s">
        <v>387</v>
      </c>
    </row>
    <row r="49" customFormat="false" ht="15" hidden="false" customHeight="false" outlineLevel="0" collapsed="false">
      <c r="A49" s="9" t="s">
        <v>388</v>
      </c>
      <c r="B49" s="36" t="n">
        <f aca="false">05_圧力安定!$B$7/(2*PI())*SQRT((PI()*(01_入力!$B$34/1000)^2/4)/(05_圧力安定!$B$11*(01_入力!$B$35/1000+0.85*01_入力!$B$34/2000)))</f>
        <v>203.868299641018</v>
      </c>
      <c r="C49" s="11" t="s">
        <v>272</v>
      </c>
      <c r="D49" s="6" t="s">
        <v>389</v>
      </c>
    </row>
    <row r="50" customFormat="false" ht="15" hidden="false" customHeight="false" outlineLevel="0" collapsed="false">
      <c r="A50" s="9" t="s">
        <v>390</v>
      </c>
      <c r="B50" s="19" t="n">
        <f aca="false">04_流量切替!$B$13</f>
        <v>16.6666666666667</v>
      </c>
      <c r="C50" s="11" t="s">
        <v>272</v>
      </c>
    </row>
    <row r="51" customFormat="false" ht="15" hidden="false" customHeight="false" outlineLevel="0" collapsed="false">
      <c r="A51" s="9" t="s">
        <v>391</v>
      </c>
      <c r="B51" s="19" t="n">
        <f aca="false">5*04_流量切替!$B$13</f>
        <v>83.3333333333333</v>
      </c>
      <c r="C51" s="11" t="s">
        <v>272</v>
      </c>
    </row>
    <row r="52" customFormat="false" ht="15" hidden="false" customHeight="false" outlineLevel="0" collapsed="false">
      <c r="A52" s="9" t="s">
        <v>385</v>
      </c>
      <c r="B52" s="34" t="str">
        <f aca="false">IF($B$49&gt;5*04_流量切替!$B$13,"OK: 共鳴は第5高調波より上","NG: 共鳴が切替高調波帯にある — 首部形状を変更")</f>
        <v>OK: 共鳴は第5高調波より上</v>
      </c>
      <c r="C52" s="9"/>
    </row>
    <row r="53" customFormat="false" ht="15" hidden="false" customHeight="false" outlineLevel="0" collapsed="false">
      <c r="A53" s="9" t="s">
        <v>392</v>
      </c>
      <c r="B53" s="37" t="n">
        <f aca="false">04_流量切替!$B$6*03_湿度状態点!$F$50*8.31446261815324*03_湿度状態点!$F$9/03_湿度状態点!$F$11*01_入力!$B$20/1000*1000000</f>
        <v>13.3568587662965</v>
      </c>
      <c r="C53" s="11" t="s">
        <v>81</v>
      </c>
      <c r="D53" s="6" t="s">
        <v>393</v>
      </c>
    </row>
    <row r="54" customFormat="false" ht="15" hidden="false" customHeight="false" outlineLevel="0" collapsed="false">
      <c r="A54" s="9" t="s">
        <v>394</v>
      </c>
      <c r="B54" s="13" t="n">
        <f aca="false">$B$53/5</f>
        <v>2.67137175325929</v>
      </c>
      <c r="C54" s="11" t="s">
        <v>81</v>
      </c>
    </row>
    <row r="56" customFormat="false" ht="15" hidden="false" customHeight="false" outlineLevel="0" collapsed="false">
      <c r="A56" s="7" t="s">
        <v>395</v>
      </c>
      <c r="B56" s="8"/>
      <c r="C56" s="8"/>
      <c r="D56" s="8"/>
      <c r="E56" s="8"/>
      <c r="F56" s="8"/>
      <c r="G56" s="8"/>
      <c r="H56" s="8"/>
      <c r="I56" s="8"/>
    </row>
    <row r="57" customFormat="false" ht="15" hidden="false" customHeight="false" outlineLevel="0" collapsed="false">
      <c r="A57" s="2" t="s">
        <v>396</v>
      </c>
    </row>
    <row r="59" customFormat="false" ht="15" hidden="false" customHeight="false" outlineLevel="0" collapsed="false">
      <c r="A59" s="6" t="s">
        <v>397</v>
      </c>
    </row>
    <row r="61" customFormat="false" ht="15" hidden="false" customHeight="false" outlineLevel="0" collapsed="false">
      <c r="A61" s="9" t="s">
        <v>398</v>
      </c>
      <c r="B61" s="20" t="n">
        <f aca="false">1</f>
        <v>1</v>
      </c>
      <c r="C61" s="11" t="s">
        <v>272</v>
      </c>
      <c r="D61" s="6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9.4" hidden="false" customHeight="false" outlineLevel="0" collapsed="false">
      <c r="A1" s="1" t="s">
        <v>400</v>
      </c>
    </row>
    <row r="3" customFormat="false" ht="15" hidden="false" customHeight="false" outlineLevel="0" collapsed="false">
      <c r="A3" s="7" t="s">
        <v>401</v>
      </c>
      <c r="B3" s="8"/>
      <c r="C3" s="8"/>
      <c r="D3" s="8"/>
      <c r="E3" s="8"/>
      <c r="F3" s="8"/>
      <c r="G3" s="8"/>
      <c r="H3" s="8"/>
      <c r="I3" s="8"/>
    </row>
    <row r="4" customFormat="false" ht="15" hidden="false" customHeight="false" outlineLevel="0" collapsed="false">
      <c r="A4" s="9" t="s">
        <v>402</v>
      </c>
      <c r="B4" s="28" t="n">
        <f aca="false">04_流量切替!$B$6*03_湿度状態点!$F$36</f>
        <v>0.000306478635350251</v>
      </c>
      <c r="C4" s="11" t="s">
        <v>259</v>
      </c>
    </row>
    <row r="5" customFormat="false" ht="15" hidden="false" customHeight="false" outlineLevel="0" collapsed="false">
      <c r="A5" s="9" t="s">
        <v>403</v>
      </c>
      <c r="B5" s="37" t="n">
        <f aca="false">$B$4*0.018015268*3600*1000</f>
        <v>19.8766611075925</v>
      </c>
      <c r="C5" s="11" t="s">
        <v>404</v>
      </c>
    </row>
    <row r="6" customFormat="false" ht="15" hidden="false" customHeight="false" outlineLevel="0" collapsed="false">
      <c r="A6" s="9" t="s">
        <v>405</v>
      </c>
      <c r="B6" s="13" t="n">
        <f aca="false">$B$5*04_流量切替!$B$7/04_流量切替!$B$6</f>
        <v>9.93833055379627</v>
      </c>
      <c r="C6" s="11" t="s">
        <v>404</v>
      </c>
    </row>
    <row r="7" customFormat="false" ht="15" hidden="false" customHeight="false" outlineLevel="0" collapsed="false">
      <c r="A7" s="9" t="s">
        <v>406</v>
      </c>
      <c r="B7" s="13" t="n">
        <f aca="false">1000*(2500.93-2.3666*(03_湿度状態点!$F$9-273.15)-0.0016*(03_湿度状態点!$F$9-273.15)^2)/1000</f>
        <v>2452.958</v>
      </c>
      <c r="C7" s="11" t="s">
        <v>407</v>
      </c>
      <c r="D7" s="2" t="s">
        <v>408</v>
      </c>
    </row>
    <row r="8" customFormat="false" ht="15" hidden="false" customHeight="false" outlineLevel="0" collapsed="false">
      <c r="A8" s="9" t="s">
        <v>409</v>
      </c>
      <c r="B8" s="37" t="n">
        <f aca="false">$B$5/3600/1000*$B$7*1000</f>
        <v>13.5435041325439</v>
      </c>
      <c r="C8" s="11" t="s">
        <v>410</v>
      </c>
    </row>
    <row r="10" customFormat="false" ht="15" hidden="false" customHeight="false" outlineLevel="0" collapsed="false">
      <c r="A10" s="7" t="s">
        <v>411</v>
      </c>
      <c r="B10" s="8"/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9" t="s">
        <v>412</v>
      </c>
      <c r="B11" s="22" t="n">
        <f aca="false">(03_湿度状態点!$F$36*(30.092+6.832514*(03_湿度状態点!$F$9/1000)+6.793435*(03_湿度状態点!$F$9/1000)^2-2.53448*(03_湿度状態点!$F$9/1000)^3+0.082139/(03_湿度状態点!$F$9/1000)^2)+(1-03_湿度状態点!$F$36)*((20.823075+0.059235957*03_湿度状態点!$F$9-0.00000051159127*03_湿度状態点!$F$9^2-0.000000048979736*03_湿度状態点!$F$9^3-03_湿度状態点!$F$9*0.0000000001*(-1131.240934/(03_湿度状態点!$F$9/100)^3+3608.789328/(03_湿度状態点!$F$9/100)^4-24219.432384/(03_湿度状態点!$F$9/100)^5)*03_湿度状態点!$F$11)))</f>
        <v>37.2428531036419</v>
      </c>
      <c r="C11" s="11" t="s">
        <v>413</v>
      </c>
    </row>
    <row r="12" customFormat="false" ht="15" hidden="false" customHeight="false" outlineLevel="0" collapsed="false">
      <c r="A12" s="9" t="s">
        <v>414</v>
      </c>
      <c r="B12" s="19" t="n">
        <f aca="false">06_熱水収支!$B$11/03_湿度状態点!$F$49</f>
        <v>853.169091341169</v>
      </c>
      <c r="C12" s="11" t="s">
        <v>286</v>
      </c>
      <c r="D12" s="2" t="s">
        <v>415</v>
      </c>
    </row>
    <row r="13" customFormat="false" ht="15" hidden="false" customHeight="false" outlineLevel="0" collapsed="false">
      <c r="A13" s="9" t="s">
        <v>416</v>
      </c>
      <c r="B13" s="22" t="n">
        <f aca="false">04_流量切替!$B$6*06_熱水収支!$B$11</f>
        <v>0.830795567667004</v>
      </c>
      <c r="C13" s="11" t="s">
        <v>417</v>
      </c>
    </row>
    <row r="14" customFormat="false" ht="15" hidden="false" customHeight="false" outlineLevel="0" collapsed="false">
      <c r="A14" s="11" t="s">
        <v>418</v>
      </c>
      <c r="B14" s="22" t="n">
        <f aca="false">03_湿度状態点!$B$3</f>
        <v>-1.82398927099025</v>
      </c>
      <c r="C14" s="11" t="s">
        <v>155</v>
      </c>
      <c r="D14" s="6" t="s">
        <v>419</v>
      </c>
    </row>
    <row r="15" customFormat="false" ht="15" hidden="false" customHeight="false" outlineLevel="0" collapsed="false">
      <c r="A15" s="11" t="s">
        <v>420</v>
      </c>
      <c r="B15" s="37" t="n">
        <f aca="false">06_熱水収支!$B$13*(03_湿度状態点!$F$8-03_湿度状態点!$E$8)</f>
        <v>-10.1157757455272</v>
      </c>
      <c r="C15" s="11" t="s">
        <v>410</v>
      </c>
      <c r="D15" s="6" t="s">
        <v>421</v>
      </c>
    </row>
    <row r="16" customFormat="false" ht="15" hidden="false" customHeight="false" outlineLevel="0" collapsed="false">
      <c r="A16" s="9" t="s">
        <v>422</v>
      </c>
      <c r="B16" s="13" t="n">
        <f aca="false">$B$8</f>
        <v>13.5435041325439</v>
      </c>
      <c r="C16" s="11" t="s">
        <v>410</v>
      </c>
      <c r="D16" s="6" t="s">
        <v>423</v>
      </c>
    </row>
    <row r="17" customFormat="false" ht="15" hidden="false" customHeight="false" outlineLevel="0" collapsed="false">
      <c r="A17" s="9" t="s">
        <v>424</v>
      </c>
      <c r="B17" s="13" t="n">
        <f aca="false">PI()*(01_入力!$B$28/1000+0.002)*01_入力!$B$29*10*(01_入力!$B$15-20)</f>
        <v>0.109955742875643</v>
      </c>
      <c r="C17" s="11" t="s">
        <v>410</v>
      </c>
      <c r="D17" s="2" t="s">
        <v>425</v>
      </c>
    </row>
    <row r="18" customFormat="false" ht="15" hidden="false" customHeight="false" outlineLevel="0" collapsed="false">
      <c r="A18" s="9" t="s">
        <v>426</v>
      </c>
      <c r="B18" s="36" t="n">
        <f aca="false">3*(ABS($B$15)+$B$8+ABS($B$17))</f>
        <v>71.3077068628401</v>
      </c>
      <c r="C18" s="11" t="s">
        <v>410</v>
      </c>
      <c r="D18" s="6" t="s">
        <v>427</v>
      </c>
    </row>
    <row r="20" customFormat="false" ht="15" hidden="false" customHeight="false" outlineLevel="0" collapsed="false">
      <c r="A20" s="7" t="s">
        <v>428</v>
      </c>
      <c r="B20" s="8"/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26" t="s">
        <v>429</v>
      </c>
      <c r="B21" s="26" t="s">
        <v>430</v>
      </c>
      <c r="C21" s="26" t="s">
        <v>431</v>
      </c>
      <c r="D21" s="26" t="s">
        <v>432</v>
      </c>
      <c r="E21" s="26" t="s">
        <v>433</v>
      </c>
    </row>
    <row r="22" customFormat="false" ht="15" hidden="false" customHeight="false" outlineLevel="0" collapsed="false">
      <c r="A22" s="11" t="s">
        <v>434</v>
      </c>
      <c r="B22" s="22" t="n">
        <f aca="false">03_湿度状態点!$C$8</f>
        <v>30.655</v>
      </c>
      <c r="C22" s="22" t="n">
        <f aca="false">03_湿度状態点!$C$44</f>
        <v>28.8233096702544</v>
      </c>
      <c r="D22" s="22" t="n">
        <f aca="false">03_湿度状態点!$C$45</f>
        <v>1.83169032974561</v>
      </c>
      <c r="E22" s="34" t="str">
        <f aca="false">IF(03_湿度状態点!$C$45&gt;0,"仕様上ここは飽和近傍（RH=η_sat）。下流を単調に昇温させ、デミスタを設けること","NG: 結露")</f>
        <v>仕様上ここは飽和近傍（RH=η_sat）。下流を単調に昇温させ、デミスタを設けること</v>
      </c>
    </row>
    <row r="23" customFormat="false" ht="15" hidden="false" customHeight="false" outlineLevel="0" collapsed="false">
      <c r="A23" s="11" t="s">
        <v>435</v>
      </c>
      <c r="B23" s="22" t="n">
        <f aca="false">03_湿度状態点!$D$8</f>
        <v>34</v>
      </c>
      <c r="C23" s="22" t="n">
        <f aca="false">03_湿度状態点!$D$44</f>
        <v>28.8483316632901</v>
      </c>
      <c r="D23" s="22" t="n">
        <f aca="false">03_湿度状態点!$D$45</f>
        <v>5.15166833670992</v>
      </c>
      <c r="E23" s="34" t="str">
        <f aca="false">IF(03_湿度状態点!$D$45&gt;=5,"OK (≥5 K)",IF(03_湿度状態点!$D$45&gt;0,"注意: 余裕 &lt;5 K — 壁温を上げること","NG: 結露"))</f>
        <v>OK (≥5 K)</v>
      </c>
    </row>
    <row r="24" customFormat="false" ht="15" hidden="false" customHeight="false" outlineLevel="0" collapsed="false">
      <c r="A24" s="11" t="s">
        <v>436</v>
      </c>
      <c r="B24" s="22" t="n">
        <f aca="false">03_湿度状態点!$E$8</f>
        <v>32.1760107290098</v>
      </c>
      <c r="C24" s="22" t="n">
        <f aca="false">03_湿度状態点!$E$44</f>
        <v>14.4024045457637</v>
      </c>
      <c r="D24" s="22" t="n">
        <f aca="false">03_湿度状態点!$E$45</f>
        <v>17.7736061832461</v>
      </c>
      <c r="E24" s="34" t="str">
        <f aca="false">IF(03_湿度状態点!$E$45&gt;=5,"OK (≥5 K)",IF(03_湿度状態点!$E$45&gt;0,"注意: 余裕 &lt;5 K — 壁温を上げること","NG: 結露"))</f>
        <v>OK (≥5 K)</v>
      </c>
    </row>
    <row r="25" customFormat="false" ht="15" hidden="false" customHeight="false" outlineLevel="0" collapsed="false">
      <c r="A25" s="11" t="s">
        <v>437</v>
      </c>
      <c r="B25" s="22" t="n">
        <f aca="false">03_湿度状態点!$F$8</f>
        <v>20</v>
      </c>
      <c r="C25" s="22" t="n">
        <f aca="false">03_湿度状態点!$F$44</f>
        <v>14.3677142686551</v>
      </c>
      <c r="D25" s="22" t="n">
        <f aca="false">03_湿度状態点!$F$45</f>
        <v>5.63228573134489</v>
      </c>
      <c r="E25" s="34" t="str">
        <f aca="false">IF(03_湿度状態点!$F$45&gt;=5,"OK (≥5 K)",IF(03_湿度状態点!$F$45&gt;0,"注意: 余裕 &lt;5 K — 壁温を上げること","NG: 結露"))</f>
        <v>OK (≥5 K)</v>
      </c>
    </row>
    <row r="26" customFormat="false" ht="15" hidden="false" customHeight="false" outlineLevel="0" collapsed="false">
      <c r="A26" s="2" t="s">
        <v>438</v>
      </c>
    </row>
    <row r="27" customFormat="false" ht="15" hidden="false" customHeight="false" outlineLevel="0" collapsed="false">
      <c r="A27" s="6" t="s">
        <v>439</v>
      </c>
    </row>
    <row r="28" customFormat="false" ht="15" hidden="false" customHeight="false" outlineLevel="0" collapsed="false">
      <c r="A28" s="6" t="s">
        <v>440</v>
      </c>
    </row>
    <row r="29" customFormat="false" ht="15" hidden="false" customHeight="false" outlineLevel="0" collapsed="false">
      <c r="A29" s="6" t="s">
        <v>441</v>
      </c>
    </row>
    <row r="30" customFormat="false" ht="15" hidden="false" customHeight="false" outlineLevel="0" collapsed="false">
      <c r="A30" s="6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9.4" hidden="false" customHeight="false" outlineLevel="0" collapsed="false">
      <c r="A1" s="1" t="s">
        <v>443</v>
      </c>
    </row>
    <row r="3" customFormat="false" ht="15" hidden="false" customHeight="false" outlineLevel="0" collapsed="false">
      <c r="A3" s="9" t="s">
        <v>444</v>
      </c>
      <c r="B3" s="23" t="n">
        <f aca="false">01_入力!$B$28/1000</f>
        <v>0.008</v>
      </c>
      <c r="C3" s="11" t="s">
        <v>86</v>
      </c>
    </row>
    <row r="4" customFormat="false" ht="15" hidden="false" customHeight="false" outlineLevel="0" collapsed="false">
      <c r="A4" s="9" t="s">
        <v>445</v>
      </c>
      <c r="B4" s="28" t="n">
        <f aca="false">PI()*07_配管!$B$3^2/4</f>
        <v>5.02654824574367E-005</v>
      </c>
      <c r="C4" s="11" t="s">
        <v>446</v>
      </c>
    </row>
    <row r="5" customFormat="false" ht="15" hidden="false" customHeight="false" outlineLevel="0" collapsed="false">
      <c r="A5" s="9" t="s">
        <v>447</v>
      </c>
      <c r="B5" s="29" t="n">
        <f aca="false">04_流量切替!$B$6*03_湿度状態点!$F$50*8.31446261815324*03_湿度状態点!$F$9/03_湿度状態点!$F$11</f>
        <v>0.000445228625543215</v>
      </c>
      <c r="C5" s="11" t="s">
        <v>448</v>
      </c>
    </row>
    <row r="6" customFormat="false" ht="15" hidden="false" customHeight="false" outlineLevel="0" collapsed="false">
      <c r="A6" s="9" t="s">
        <v>449</v>
      </c>
      <c r="B6" s="37" t="n">
        <f aca="false">07_配管!$B$5/07_配管!$B$4</f>
        <v>8.85754207015165</v>
      </c>
      <c r="C6" s="11" t="s">
        <v>336</v>
      </c>
      <c r="D6" s="2" t="s">
        <v>450</v>
      </c>
    </row>
    <row r="7" customFormat="false" ht="15" hidden="false" customHeight="false" outlineLevel="0" collapsed="false">
      <c r="A7" s="9" t="s">
        <v>239</v>
      </c>
      <c r="B7" s="23" t="n">
        <f aca="false">03_湿度状態点!$F$51</f>
        <v>2.18713695326889</v>
      </c>
      <c r="C7" s="11" t="s">
        <v>240</v>
      </c>
    </row>
    <row r="8" customFormat="false" ht="15" hidden="false" customHeight="false" outlineLevel="0" collapsed="false">
      <c r="A8" s="9" t="s">
        <v>451</v>
      </c>
      <c r="B8" s="28" t="n">
        <f aca="false">(0.00000100697*SQRT(03_湿度状態点!$F$9)/EXP(0.235156-0.491266*LN(03_湿度状態点!$F$9/251.196)+0.05211155*LN(03_湿度状態点!$F$9/251.196)^2+0.05347906*LN(03_湿度状態点!$F$9/251.196)^3-0.01537102*LN(03_湿度状態点!$F$9/251.196)^4))</f>
        <v>1.46813370222267E-005</v>
      </c>
      <c r="C8" s="11" t="s">
        <v>283</v>
      </c>
      <c r="D8" s="2" t="s">
        <v>452</v>
      </c>
    </row>
    <row r="9" customFormat="false" ht="15" hidden="false" customHeight="false" outlineLevel="0" collapsed="false">
      <c r="A9" s="11" t="s">
        <v>453</v>
      </c>
      <c r="B9" s="20" t="n">
        <f aca="false">07_配管!$B$7*07_配管!$B$6*07_配管!$B$3/(0.00000100697*SQRT(03_湿度状態点!$F$9)/EXP(0.235156-0.491266*LN(03_湿度状態点!$F$9/251.196)+0.05211155*LN(03_湿度状態点!$F$9/251.196)^2+0.05347906*LN(03_湿度状態点!$F$9/251.196)^3-0.01537102*LN(03_湿度状態点!$F$9/251.196)^4))</f>
        <v>10556.345132563</v>
      </c>
      <c r="C9" s="11" t="s">
        <v>49</v>
      </c>
    </row>
    <row r="10" customFormat="false" ht="15" hidden="false" customHeight="false" outlineLevel="0" collapsed="false">
      <c r="A10" s="11" t="s">
        <v>454</v>
      </c>
      <c r="B10" s="23" t="n">
        <f aca="false">IF(07_配管!$B$9&lt;2300,64/07_配管!$B$9,0.3164*07_配管!$B$9^-0.25)</f>
        <v>0.0312146219655241</v>
      </c>
      <c r="C10" s="11" t="s">
        <v>49</v>
      </c>
      <c r="D10" s="6" t="s">
        <v>455</v>
      </c>
    </row>
    <row r="11" customFormat="false" ht="15" hidden="false" customHeight="false" outlineLevel="0" collapsed="false">
      <c r="A11" s="9" t="s">
        <v>456</v>
      </c>
      <c r="B11" s="32" t="n">
        <f aca="false">07_配管!$B$10*(01_入力!$B$29/07_配管!$B$3)*0.5*07_配管!$B$7*07_配管!$B$6^2/1000</f>
        <v>0.00836913419335361</v>
      </c>
      <c r="C11" s="11" t="s">
        <v>42</v>
      </c>
      <c r="D11" s="2" t="s">
        <v>457</v>
      </c>
    </row>
    <row r="12" customFormat="false" ht="15" hidden="false" customHeight="false" outlineLevel="0" collapsed="false">
      <c r="A12" s="9" t="s">
        <v>458</v>
      </c>
      <c r="B12" s="38" t="n">
        <f aca="false">$B$11/01_入力!$B$6*100</f>
        <v>0.041845670966768</v>
      </c>
      <c r="C12" s="11" t="s">
        <v>349</v>
      </c>
    </row>
    <row r="13" customFormat="false" ht="15" hidden="false" customHeight="false" outlineLevel="0" collapsed="false">
      <c r="A13" s="9" t="s">
        <v>459</v>
      </c>
      <c r="B13" s="13" t="n">
        <f aca="false">01_入力!$B$29/07_配管!$B$6*1000</f>
        <v>2.82245343030834</v>
      </c>
      <c r="C13" s="11" t="s">
        <v>68</v>
      </c>
      <c r="D13" s="6" t="s">
        <v>460</v>
      </c>
    </row>
    <row r="14" customFormat="false" ht="15" hidden="false" customHeight="false" outlineLevel="0" collapsed="false">
      <c r="A14" s="9" t="s">
        <v>461</v>
      </c>
      <c r="B14" s="37" t="n">
        <f aca="false">01_入力!$B$29/05_圧力安定!$B$7*1000</f>
        <v>0.0934598527355833</v>
      </c>
      <c r="C14" s="11" t="s">
        <v>68</v>
      </c>
      <c r="D14" s="6" t="s">
        <v>462</v>
      </c>
    </row>
    <row r="15" customFormat="false" ht="15" hidden="false" customHeight="false" outlineLevel="0" collapsed="false">
      <c r="A15" s="9" t="s">
        <v>463</v>
      </c>
      <c r="B15" s="13" t="n">
        <f aca="false">01_入力!$B$30</f>
        <v>1</v>
      </c>
      <c r="C15" s="11" t="s">
        <v>68</v>
      </c>
    </row>
    <row r="16" customFormat="false" ht="15" hidden="false" customHeight="false" outlineLevel="0" collapsed="false">
      <c r="A16" s="6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9.4" hidden="false" customHeight="false" outlineLevel="0" collapsed="false">
      <c r="A1" s="1" t="s">
        <v>465</v>
      </c>
    </row>
    <row r="3" customFormat="false" ht="15" hidden="false" customHeight="false" outlineLevel="0" collapsed="false">
      <c r="A3" s="11" t="s">
        <v>466</v>
      </c>
      <c r="B3" s="29" t="n">
        <f aca="false">04_流量切替!$B$6</f>
        <v>0.0223075167027352</v>
      </c>
      <c r="C3" s="11" t="s">
        <v>259</v>
      </c>
    </row>
    <row r="4" customFormat="false" ht="15" hidden="false" customHeight="false" outlineLevel="0" collapsed="false">
      <c r="A4" s="9" t="s">
        <v>467</v>
      </c>
      <c r="B4" s="29" t="n">
        <f aca="false">8.31446261815324*293.15/101325</f>
        <v>0.0240551168666333</v>
      </c>
      <c r="C4" s="11" t="s">
        <v>182</v>
      </c>
    </row>
    <row r="5" customFormat="false" ht="15" hidden="false" customHeight="false" outlineLevel="0" collapsed="false">
      <c r="A5" s="9" t="s">
        <v>468</v>
      </c>
      <c r="B5" s="36" t="n">
        <f aca="false">04_流量切替!$B$6*$B$4/((01_入力!$B$45-01_入力!$B$46)/1000000)*3600</f>
        <v>421.789457781487</v>
      </c>
      <c r="C5" s="11" t="s">
        <v>469</v>
      </c>
      <c r="D5" s="6" t="s">
        <v>470</v>
      </c>
    </row>
    <row r="6" customFormat="false" ht="15" hidden="false" customHeight="false" outlineLevel="0" collapsed="false">
      <c r="A6" s="9" t="s">
        <v>471</v>
      </c>
      <c r="B6" s="36" t="n">
        <f aca="false">$B$5*01_入力!$B$47</f>
        <v>1265.36837334446</v>
      </c>
      <c r="C6" s="11" t="s">
        <v>469</v>
      </c>
      <c r="D6" s="2" t="s">
        <v>472</v>
      </c>
    </row>
    <row r="7" customFormat="false" ht="15" hidden="false" customHeight="false" outlineLevel="0" collapsed="false">
      <c r="A7" s="9" t="s">
        <v>473</v>
      </c>
      <c r="B7" s="38" t="n">
        <f aca="false">$B$6/01_入力!$B$44</f>
        <v>23.432747654527</v>
      </c>
      <c r="C7" s="9" t="s">
        <v>474</v>
      </c>
    </row>
    <row r="8" customFormat="false" ht="15" hidden="false" customHeight="false" outlineLevel="0" collapsed="false">
      <c r="A8" s="9" t="s">
        <v>475</v>
      </c>
      <c r="B8" s="38" t="n">
        <f aca="false">01_入力!$B$44*((01_入力!$B$45-01_入力!$B$46)/1000000)/(04_流量切替!$B$6*$B$4)/60</f>
        <v>7.68155756438683</v>
      </c>
      <c r="C8" s="11" t="s">
        <v>476</v>
      </c>
      <c r="D8" s="6" t="s">
        <v>477</v>
      </c>
    </row>
    <row r="9" customFormat="false" ht="15" hidden="false" customHeight="false" outlineLevel="0" collapsed="false">
      <c r="A9" s="11" t="s">
        <v>478</v>
      </c>
      <c r="B9" s="19" t="n">
        <f aca="false">01_入力!$B$44*((30000-01_入力!$B$46)/1000000)/(04_流量切替!$B$6*$B$4)/60</f>
        <v>49.6114569333106</v>
      </c>
      <c r="C9" s="11" t="s">
        <v>476</v>
      </c>
    </row>
    <row r="10" customFormat="false" ht="15" hidden="false" customHeight="false" outlineLevel="0" collapsed="false">
      <c r="A10" s="11" t="s">
        <v>479</v>
      </c>
      <c r="B10" s="19" t="n">
        <f aca="false">01_入力!$B$44*((40000-01_入力!$B$46)/1000000)/(04_流量切替!$B$6*$B$4)/60</f>
        <v>66.3834166808801</v>
      </c>
      <c r="C10" s="11" t="s">
        <v>476</v>
      </c>
    </row>
    <row r="12" customFormat="false" ht="15" hidden="false" customHeight="false" outlineLevel="0" collapsed="false">
      <c r="A12" s="6" t="s">
        <v>480</v>
      </c>
    </row>
    <row r="13" customFormat="false" ht="15" hidden="false" customHeight="false" outlineLevel="0" collapsed="false">
      <c r="A13" s="2" t="s">
        <v>481</v>
      </c>
    </row>
    <row r="14" customFormat="false" ht="15" hidden="false" customHeight="false" outlineLevel="0" collapsed="false">
      <c r="A14" s="2" t="s">
        <v>482</v>
      </c>
    </row>
    <row r="15" customFormat="false" ht="15" hidden="false" customHeight="false" outlineLevel="0" collapsed="false">
      <c r="A15" s="2" t="s">
        <v>483</v>
      </c>
    </row>
    <row r="16" customFormat="false" ht="15" hidden="false" customHeight="false" outlineLevel="0" collapsed="false">
      <c r="A16" s="6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1" t="s">
        <v>485</v>
      </c>
      <c r="H1" s="25" t="n">
        <f aca="false">22064000*EXP(647.096/(01_入力!$B$7+273.15)*(-7.85951783*(1-(01_入力!$B$7+273.15)/647.096)+1.84408259*(1-(01_入力!$B$7+273.15)/647.096)^1.5-11.7866497*(1-(01_入力!$B$7+273.15)/647.096)^3+22.6807411*(1-(01_入力!$B$7+273.15)/647.096)^3.5-15.9618719*(1-(01_入力!$B$7+273.15)/647.096)^4+1.80122502*(1-(01_入力!$B$7+273.15)/647.096)^7.5))</f>
        <v>2339.19373662275</v>
      </c>
    </row>
    <row r="2" customFormat="false" ht="15" hidden="false" customHeight="false" outlineLevel="0" collapsed="false">
      <c r="A2" s="6" t="s">
        <v>486</v>
      </c>
      <c r="H2" s="2" t="s">
        <v>487</v>
      </c>
    </row>
    <row r="4" customFormat="false" ht="15" hidden="false" customHeight="false" outlineLevel="0" collapsed="false">
      <c r="A4" s="7" t="s">
        <v>488</v>
      </c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17" t="s">
        <v>489</v>
      </c>
      <c r="B5" s="17" t="s">
        <v>125</v>
      </c>
      <c r="C5" s="17" t="s">
        <v>490</v>
      </c>
      <c r="D5" s="17" t="s">
        <v>491</v>
      </c>
      <c r="E5" s="17" t="s">
        <v>492</v>
      </c>
      <c r="F5" s="26" t="s">
        <v>493</v>
      </c>
      <c r="G5" s="26" t="s">
        <v>494</v>
      </c>
    </row>
    <row r="6" customFormat="false" ht="15" hidden="false" customHeight="false" outlineLevel="0" collapsed="false">
      <c r="A6" s="39" t="n">
        <v>18</v>
      </c>
      <c r="B6" s="22" t="n">
        <f aca="false">22064000*EXP(647.096/($A$6+273.15)*(-7.85951783*(1-($A$6+273.15)/647.096)+1.84408259*(1-($A$6+273.15)/647.096)^1.5-11.7866497*(1-($A$6+273.15)/647.096)^3+22.6807411*(1-($A$6+273.15)/647.096)^3.5-15.9618719*(1-($A$6+273.15)/647.096)^4+1.80122502*(1-($A$6+273.15)/647.096)^7.5))</f>
        <v>2064.61093743088</v>
      </c>
      <c r="C6" s="28" t="n">
        <f aca="false">($B$6)*EXP(-8.55445/(($A$6+273.15)/647.096)+4.01195*(1-(($A$6+273.15)/647.096))^0.355/(($A$6+273.15)/647.096)+9.52345*(($A$6+273.15)/647.096)^(-0.41)*EXP(1-(($A$6+273.15)/647.096)))</f>
        <v>136944855.055728</v>
      </c>
      <c r="D6" s="21" t="n">
        <f aca="false">IF(01_入力!$B$39=1,EXP(((0.000001*(19202.081-20032490/($A$6+273.15)+7075968700/($A$6+273.15)^2-870743060000/($A$6+273.15)^3))*($B$6)/(8.31446261815324*($A$6+273.15))+(0.018015268/((999.83952+16.945176*(($A$6+273.15)-273.15)-0.0079870401*(($A$6+273.15)-273.15)^2-0.000046170461*(($A$6+273.15)-273.15)^3+0.00000010556302*(($A$6+273.15)-273.15)^4-0.00000000028054253*(($A$6+273.15)-273.15)^5)/(1+0.01687985*(($A$6+273.15)-273.15))))*(((01_入力!$B$9*1000))-($B$6))/(8.31446261815324*($A$6+273.15))-((0.000001*(19202.081-20032490/($A$6+273.15)+7075968700/($A$6+273.15)^2-870743060000/($A$6+273.15)^3))*(2*(($B$6)/((01_入力!$B$9*1000)))-(($B$6)/((01_入力!$B$9*1000)))^2)+(2*(((0.000001*(-236.26407+204871.53/($A$6+273.15)-59999434/($A$6+273.15)^2))+01_入力!$B$38/1000000))-(0.000001*(75.188632-565.620467/(($A$6+273.15)/100)+601.464888/(($A$6+273.15)/100)^2-2018.286032/(($A$6+273.15)/100)^3)))*(1-(($B$6)/((01_入力!$B$9*1000))))^2)*((01_入力!$B$9*1000))/(8.31446261815324*($A$6+273.15))+LN(1-(((01_入力!$B$9*1000))-($B$6))/($C$6)))),1)</f>
        <v>1.01835900973434</v>
      </c>
      <c r="E6" s="22" t="n">
        <f aca="false">100*03_湿度状態点!$F$36*(01_入力!$B$9*1000)/($D$6*$B$6)</f>
        <v>79.2793616434731</v>
      </c>
      <c r="F6" s="22" t="n">
        <f aca="false">$E$6-100*01_入力!$B$8</f>
        <v>9.27936164347311</v>
      </c>
      <c r="G6" s="22" t="n">
        <f aca="false">$A$6-03_湿度状態点!$F$44</f>
        <v>3.63228573134489</v>
      </c>
    </row>
    <row r="7" customFormat="false" ht="15" hidden="false" customHeight="false" outlineLevel="0" collapsed="false">
      <c r="A7" s="39" t="n">
        <v>18.25</v>
      </c>
      <c r="B7" s="22" t="n">
        <f aca="false">22064000*EXP(647.096/($A$7+273.15)*(-7.85951783*(1-($A$7+273.15)/647.096)+1.84408259*(1-($A$7+273.15)/647.096)^1.5-11.7866497*(1-($A$7+273.15)/647.096)^3+22.6807411*(1-($A$7+273.15)/647.096)^3.5-15.9618719*(1-($A$7+273.15)/647.096)^4+1.80122502*(1-($A$7+273.15)/647.096)^7.5))</f>
        <v>2097.31095828303</v>
      </c>
      <c r="C7" s="28" t="n">
        <f aca="false">($B$7)*EXP(-8.55445/(($A$7+273.15)/647.096)+4.01195*(1-(($A$7+273.15)/647.096))^0.355/(($A$7+273.15)/647.096)+9.52345*(($A$7+273.15)/647.096)^(-0.41)*EXP(1-(($A$7+273.15)/647.096)))</f>
        <v>137926072.075774</v>
      </c>
      <c r="D7" s="21" t="n">
        <f aca="false">IF(01_入力!$B$39=1,EXP(((0.000001*(19202.081-20032490/($A$7+273.15)+7075968700/($A$7+273.15)^2-870743060000/($A$7+273.15)^3))*($B$7)/(8.31446261815324*($A$7+273.15))+(0.018015268/((999.83952+16.945176*(($A$7+273.15)-273.15)-0.0079870401*(($A$7+273.15)-273.15)^2-0.000046170461*(($A$7+273.15)-273.15)^3+0.00000010556302*(($A$7+273.15)-273.15)^4-0.00000000028054253*(($A$7+273.15)-273.15)^5)/(1+0.01687985*(($A$7+273.15)-273.15))))*(((01_入力!$B$9*1000))-($B$7))/(8.31446261815324*($A$7+273.15))-((0.000001*(19202.081-20032490/($A$7+273.15)+7075968700/($A$7+273.15)^2-870743060000/($A$7+273.15)^3))*(2*(($B$7)/((01_入力!$B$9*1000)))-(($B$7)/((01_入力!$B$9*1000)))^2)+(2*(((0.000001*(-236.26407+204871.53/($A$7+273.15)-59999434/($A$7+273.15)^2))+01_入力!$B$38/1000000))-(0.000001*(75.188632-565.620467/(($A$7+273.15)/100)+601.464888/(($A$7+273.15)/100)^2-2018.286032/(($A$7+273.15)/100)^3)))*(1-(($B$7)/((01_入力!$B$9*1000))))^2)*((01_入力!$B$9*1000))/(8.31446261815324*($A$7+273.15))+LN(1-(((01_入力!$B$9*1000))-($B$7))/($C$7)))),1)</f>
        <v>1.01830468600044</v>
      </c>
      <c r="E7" s="22" t="n">
        <f aca="false">100*03_湿度状態点!$F$36*(01_入力!$B$9*1000)/($D$7*$B$7)</f>
        <v>78.0474485412172</v>
      </c>
      <c r="F7" s="22" t="n">
        <f aca="false">$E$7-100*01_入力!$B$8</f>
        <v>8.04744854121721</v>
      </c>
      <c r="G7" s="22" t="n">
        <f aca="false">$A$7-03_湿度状態点!$F$44</f>
        <v>3.88228573134489</v>
      </c>
    </row>
    <row r="8" customFormat="false" ht="15" hidden="false" customHeight="false" outlineLevel="0" collapsed="false">
      <c r="A8" s="39" t="n">
        <v>18.5</v>
      </c>
      <c r="B8" s="22" t="n">
        <f aca="false">22064000*EXP(647.096/($A$8+273.15)*(-7.85951783*(1-($A$8+273.15)/647.096)+1.84408259*(1-($A$8+273.15)/647.096)^1.5-11.7866497*(1-($A$8+273.15)/647.096)^3+22.6807411*(1-($A$8+273.15)/647.096)^3.5-15.9618719*(1-($A$8+273.15)/647.096)^4+1.80122502*(1-($A$8+273.15)/647.096)^7.5))</f>
        <v>2130.46392171797</v>
      </c>
      <c r="C8" s="28" t="n">
        <f aca="false">($B$8)*EXP(-8.55445/(($A$8+273.15)/647.096)+4.01195*(1-(($A$8+273.15)/647.096))^0.355/(($A$8+273.15)/647.096)+9.52345*(($A$8+273.15)/647.096)^(-0.41)*EXP(1-(($A$8+273.15)/647.096)))</f>
        <v>138910678.454799</v>
      </c>
      <c r="D8" s="21" t="n">
        <f aca="false">IF(01_入力!$B$39=1,EXP(((0.000001*(19202.081-20032490/($A$8+273.15)+7075968700/($A$8+273.15)^2-870743060000/($A$8+273.15)^3))*($B$8)/(8.31446261815324*($A$8+273.15))+(0.018015268/((999.83952+16.945176*(($A$8+273.15)-273.15)-0.0079870401*(($A$8+273.15)-273.15)^2-0.000046170461*(($A$8+273.15)-273.15)^3+0.00000010556302*(($A$8+273.15)-273.15)^4-0.00000000028054253*(($A$8+273.15)-273.15)^5)/(1+0.01687985*(($A$8+273.15)-273.15))))*(((01_入力!$B$9*1000))-($B$8))/(8.31446261815324*($A$8+273.15))-((0.000001*(19202.081-20032490/($A$8+273.15)+7075968700/($A$8+273.15)^2-870743060000/($A$8+273.15)^3))*(2*(($B$8)/((01_入力!$B$9*1000)))-(($B$8)/((01_入力!$B$9*1000)))^2)+(2*(((0.000001*(-236.26407+204871.53/($A$8+273.15)-59999434/($A$8+273.15)^2))+01_入力!$B$38/1000000))-(0.000001*(75.188632-565.620467/(($A$8+273.15)/100)+601.464888/(($A$8+273.15)/100)^2-2018.286032/(($A$8+273.15)/100)^3)))*(1-(($B$8)/((01_入力!$B$9*1000))))^2)*((01_入力!$B$9*1000))/(8.31446261815324*($A$8+273.15))+LN(1-(((01_入力!$B$9*1000))-($B$8))/($C$8)))),1)</f>
        <v>1.01825060380258</v>
      </c>
      <c r="E8" s="22" t="n">
        <f aca="false">100*03_湿度状態点!$F$36*(01_入力!$B$9*1000)/($D$8*$B$8)</f>
        <v>76.8370031775448</v>
      </c>
      <c r="F8" s="22" t="n">
        <f aca="false">$E$8-100*01_入力!$B$8</f>
        <v>6.83700317754476</v>
      </c>
      <c r="G8" s="22" t="n">
        <f aca="false">$A$8-03_湿度状態点!$F$44</f>
        <v>4.13228573134489</v>
      </c>
    </row>
    <row r="9" customFormat="false" ht="15" hidden="false" customHeight="false" outlineLevel="0" collapsed="false">
      <c r="A9" s="39" t="n">
        <v>18.75</v>
      </c>
      <c r="B9" s="22" t="n">
        <f aca="false">22064000*EXP(647.096/($A$9+273.15)*(-7.85951783*(1-($A$9+273.15)/647.096)+1.84408259*(1-($A$9+273.15)/647.096)^1.5-11.7866497*(1-($A$9+273.15)/647.096)^3+22.6807411*(1-($A$9+273.15)/647.096)^3.5-15.9618719*(1-($A$9+273.15)/647.096)^4+1.80122502*(1-($A$9+273.15)/647.096)^7.5))</f>
        <v>2164.0751273085</v>
      </c>
      <c r="C9" s="28" t="n">
        <f aca="false">($B$9)*EXP(-8.55445/(($A$9+273.15)/647.096)+4.01195*(1-(($A$9+273.15)/647.096))^0.355/(($A$9+273.15)/647.096)+9.52345*(($A$9+273.15)/647.096)^(-0.41)*EXP(1-(($A$9+273.15)/647.096)))</f>
        <v>139898658.294791</v>
      </c>
      <c r="D9" s="21" t="n">
        <f aca="false">IF(01_入力!$B$39=1,EXP(((0.000001*(19202.081-20032490/($A$9+273.15)+7075968700/($A$9+273.15)^2-870743060000/($A$9+273.15)^3))*($B$9)/(8.31446261815324*($A$9+273.15))+(0.018015268/((999.83952+16.945176*(($A$9+273.15)-273.15)-0.0079870401*(($A$9+273.15)-273.15)^2-0.000046170461*(($A$9+273.15)-273.15)^3+0.00000010556302*(($A$9+273.15)-273.15)^4-0.00000000028054253*(($A$9+273.15)-273.15)^5)/(1+0.01687985*(($A$9+273.15)-273.15))))*(((01_入力!$B$9*1000))-($B$9))/(8.31446261815324*($A$9+273.15))-((0.000001*(19202.081-20032490/($A$9+273.15)+7075968700/($A$9+273.15)^2-870743060000/($A$9+273.15)^3))*(2*(($B$9)/((01_入力!$B$9*1000)))-(($B$9)/((01_入力!$B$9*1000)))^2)+(2*(((0.000001*(-236.26407+204871.53/($A$9+273.15)-59999434/($A$9+273.15)^2))+01_入力!$B$38/1000000))-(0.000001*(75.188632-565.620467/(($A$9+273.15)/100)+601.464888/(($A$9+273.15)/100)^2-2018.286032/(($A$9+273.15)/100)^3)))*(1-(($B$9)/((01_入力!$B$9*1000))))^2)*((01_入力!$B$9*1000))/(8.31446261815324*($A$9+273.15))+LN(1-(((01_入力!$B$9*1000))-($B$9))/($C$9)))),1)</f>
        <v>1.01819676245082</v>
      </c>
      <c r="E9" s="22" t="n">
        <f aca="false">100*03_湿度状態点!$F$36*(01_入力!$B$9*1000)/($D$9*$B$9)</f>
        <v>75.6476137487174</v>
      </c>
      <c r="F9" s="22" t="n">
        <f aca="false">$E$9-100*01_入力!$B$8</f>
        <v>5.64761374871743</v>
      </c>
      <c r="G9" s="22" t="n">
        <f aca="false">$A$9-03_湿度状態点!$F$44</f>
        <v>4.38228573134489</v>
      </c>
    </row>
    <row r="10" customFormat="false" ht="15" hidden="false" customHeight="false" outlineLevel="0" collapsed="false">
      <c r="A10" s="39" t="n">
        <v>19</v>
      </c>
      <c r="B10" s="22" t="n">
        <f aca="false">22064000*EXP(647.096/($A$10+273.15)*(-7.85951783*(1-($A$10+273.15)/647.096)+1.84408259*(1-($A$10+273.15)/647.096)^1.5-11.7866497*(1-($A$10+273.15)/647.096)^3+22.6807411*(1-($A$10+273.15)/647.096)^3.5-15.9618719*(1-($A$10+273.15)/647.096)^4+1.80122502*(1-($A$10+273.15)/647.096)^7.5))</f>
        <v>2198.14992386056</v>
      </c>
      <c r="C10" s="28" t="n">
        <f aca="false">($B$10)*EXP(-8.55445/(($A$10+273.15)/647.096)+4.01195*(1-(($A$10+273.15)/647.096))^0.355/(($A$10+273.15)/647.096)+9.52345*(($A$10+273.15)/647.096)^(-0.41)*EXP(1-(($A$10+273.15)/647.096)))</f>
        <v>140889995.524268</v>
      </c>
      <c r="D10" s="21" t="n">
        <f aca="false">IF(01_入力!$B$39=1,EXP(((0.000001*(19202.081-20032490/($A$10+273.15)+7075968700/($A$10+273.15)^2-870743060000/($A$10+273.15)^3))*($B$10)/(8.31446261815324*($A$10+273.15))+(0.018015268/((999.83952+16.945176*(($A$10+273.15)-273.15)-0.0079870401*(($A$10+273.15)-273.15)^2-0.000046170461*(($A$10+273.15)-273.15)^3+0.00000010556302*(($A$10+273.15)-273.15)^4-0.00000000028054253*(($A$10+273.15)-273.15)^5)/(1+0.01687985*(($A$10+273.15)-273.15))))*(((01_入力!$B$9*1000))-($B$10))/(8.31446261815324*($A$10+273.15))-((0.000001*(19202.081-20032490/($A$10+273.15)+7075968700/($A$10+273.15)^2-870743060000/($A$10+273.15)^3))*(2*(($B$10)/((01_入力!$B$9*1000)))-(($B$10)/((01_入力!$B$9*1000)))^2)+(2*(((0.000001*(-236.26407+204871.53/($A$10+273.15)-59999434/($A$10+273.15)^2))+01_入力!$B$38/1000000))-(0.000001*(75.188632-565.620467/(($A$10+273.15)/100)+601.464888/(($A$10+273.15)/100)^2-2018.286032/(($A$10+273.15)/100)^3)))*(1-(($B$10)/((01_入力!$B$9*1000))))^2)*((01_入力!$B$9*1000))/(8.31446261815324*($A$10+273.15))+LN(1-(((01_入力!$B$9*1000))-($B$10))/($C$10)))),1)</f>
        <v>1.01814316124626</v>
      </c>
      <c r="E10" s="22" t="n">
        <f aca="false">100*03_湿度状態点!$F$36*(01_入力!$B$9*1000)/($D$10*$B$10)</f>
        <v>74.4788770356927</v>
      </c>
      <c r="F10" s="22" t="n">
        <f aca="false">$E$10-100*01_入力!$B$8</f>
        <v>4.47887703569268</v>
      </c>
      <c r="G10" s="22" t="n">
        <f aca="false">$A$10-03_湿度状態点!$F$44</f>
        <v>4.63228573134489</v>
      </c>
    </row>
    <row r="11" customFormat="false" ht="15" hidden="false" customHeight="false" outlineLevel="0" collapsed="false">
      <c r="A11" s="39" t="n">
        <v>19.25</v>
      </c>
      <c r="B11" s="22" t="n">
        <f aca="false">22064000*EXP(647.096/($A$11+273.15)*(-7.85951783*(1-($A$11+273.15)/647.096)+1.84408259*(1-($A$11+273.15)/647.096)^1.5-11.7866497*(1-($A$11+273.15)/647.096)^3+22.6807411*(1-($A$11+273.15)/647.096)^3.5-15.9618719*(1-($A$11+273.15)/647.096)^4+1.80122502*(1-($A$11+273.15)/647.096)^7.5))</f>
        <v>2232.69370972819</v>
      </c>
      <c r="C11" s="28" t="n">
        <f aca="false">($B$11)*EXP(-8.55445/(($A$11+273.15)/647.096)+4.01195*(1-(($A$11+273.15)/647.096))^0.355/(($A$11+273.15)/647.096)+9.52345*(($A$11+273.15)/647.096)^(-0.41)*EXP(1-(($A$11+273.15)/647.096)))</f>
        <v>141884673.899393</v>
      </c>
      <c r="D11" s="21" t="n">
        <f aca="false">IF(01_入力!$B$39=1,EXP(((0.000001*(19202.081-20032490/($A$11+273.15)+7075968700/($A$11+273.15)^2-870743060000/($A$11+273.15)^3))*($B$11)/(8.31446261815324*($A$11+273.15))+(0.018015268/((999.83952+16.945176*(($A$11+273.15)-273.15)-0.0079870401*(($A$11+273.15)-273.15)^2-0.000046170461*(($A$11+273.15)-273.15)^3+0.00000010556302*(($A$11+273.15)-273.15)^4-0.00000000028054253*(($A$11+273.15)-273.15)^5)/(1+0.01687985*(($A$11+273.15)-273.15))))*(((01_入力!$B$9*1000))-($B$11))/(8.31446261815324*($A$11+273.15))-((0.000001*(19202.081-20032490/($A$11+273.15)+7075968700/($A$11+273.15)^2-870743060000/($A$11+273.15)^3))*(2*(($B$11)/((01_入力!$B$9*1000)))-(($B$11)/((01_入力!$B$9*1000)))^2)+(2*(((0.000001*(-236.26407+204871.53/($A$11+273.15)-59999434/($A$11+273.15)^2))+01_入力!$B$38/1000000))-(0.000001*(75.188632-565.620467/(($A$11+273.15)/100)+601.464888/(($A$11+273.15)/100)^2-2018.286032/(($A$11+273.15)/100)^3)))*(1-(($B$11)/((01_入力!$B$9*1000))))^2)*((01_入力!$B$9*1000))/(8.31446261815324*($A$11+273.15))+LN(1-(((01_入力!$B$9*1000))-($B$11))/($C$11)))),1)</f>
        <v>1.01808979948108</v>
      </c>
      <c r="E11" s="22" t="n">
        <f aca="false">100*03_湿度状態点!$F$36*(01_入力!$B$9*1000)/($D$11*$B$11)</f>
        <v>73.3303982114756</v>
      </c>
      <c r="F11" s="22" t="n">
        <f aca="false">$E$11-100*01_入力!$B$8</f>
        <v>3.33039821147558</v>
      </c>
      <c r="G11" s="22" t="n">
        <f aca="false">$A$11-03_湿度状態点!$F$44</f>
        <v>4.88228573134489</v>
      </c>
    </row>
    <row r="12" customFormat="false" ht="15" hidden="false" customHeight="false" outlineLevel="0" collapsed="false">
      <c r="A12" s="39" t="n">
        <v>19.5</v>
      </c>
      <c r="B12" s="22" t="n">
        <f aca="false">22064000*EXP(647.096/($A$12+273.15)*(-7.85951783*(1-($A$12+273.15)/647.096)+1.84408259*(1-($A$12+273.15)/647.096)^1.5-11.7866497*(1-($A$12+273.15)/647.096)^3+22.6807411*(1-($A$12+273.15)/647.096)^3.5-15.9618719*(1-($A$12+273.15)/647.096)^4+1.80122502*(1-($A$12+273.15)/647.096)^7.5))</f>
        <v>2267.71193312935</v>
      </c>
      <c r="C12" s="28" t="n">
        <f aca="false">($B$12)*EXP(-8.55445/(($A$12+273.15)/647.096)+4.01195*(1-(($A$12+273.15)/647.096))^0.355/(($A$12+273.15)/647.096)+9.52345*(($A$12+273.15)/647.096)^(-0.41)*EXP(1-(($A$12+273.15)/647.096)))</f>
        <v>142882677.005091</v>
      </c>
      <c r="D12" s="21" t="n">
        <f aca="false">IF(01_入力!$B$39=1,EXP(((0.000001*(19202.081-20032490/($A$12+273.15)+7075968700/($A$12+273.15)^2-870743060000/($A$12+273.15)^3))*($B$12)/(8.31446261815324*($A$12+273.15))+(0.018015268/((999.83952+16.945176*(($A$12+273.15)-273.15)-0.0079870401*(($A$12+273.15)-273.15)^2-0.000046170461*(($A$12+273.15)-273.15)^3+0.00000010556302*(($A$12+273.15)-273.15)^4-0.00000000028054253*(($A$12+273.15)-273.15)^5)/(1+0.01687985*(($A$12+273.15)-273.15))))*(((01_入力!$B$9*1000))-($B$12))/(8.31446261815324*($A$12+273.15))-((0.000001*(19202.081-20032490/($A$12+273.15)+7075968700/($A$12+273.15)^2-870743060000/($A$12+273.15)^3))*(2*(($B$12)/((01_入力!$B$9*1000)))-(($B$12)/((01_入力!$B$9*1000)))^2)+(2*(((0.000001*(-236.26407+204871.53/($A$12+273.15)-59999434/($A$12+273.15)^2))+01_入力!$B$38/1000000))-(0.000001*(75.188632-565.620467/(($A$12+273.15)/100)+601.464888/(($A$12+273.15)/100)^2-2018.286032/(($A$12+273.15)/100)^3)))*(1-(($B$12)/((01_入力!$B$9*1000))))^2)*((01_入力!$B$9*1000))/(8.31446261815324*($A$12+273.15))+LN(1-(((01_入力!$B$9*1000))-($B$12))/($C$12)))),1)</f>
        <v>1.01803667643868</v>
      </c>
      <c r="E12" s="22" t="n">
        <f aca="false">100*03_湿度状態点!$F$36*(01_入力!$B$9*1000)/($D$12*$B$12)</f>
        <v>72.2017906530892</v>
      </c>
      <c r="F12" s="22" t="n">
        <f aca="false">$E$12-100*01_入力!$B$8</f>
        <v>2.20179065308915</v>
      </c>
      <c r="G12" s="22" t="n">
        <f aca="false">$A$12-03_湿度状態点!$F$44</f>
        <v>5.13228573134489</v>
      </c>
    </row>
    <row r="13" customFormat="false" ht="15" hidden="false" customHeight="false" outlineLevel="0" collapsed="false">
      <c r="A13" s="39" t="n">
        <v>19.75</v>
      </c>
      <c r="B13" s="22" t="n">
        <f aca="false">22064000*EXP(647.096/($A$13+273.15)*(-7.85951783*(1-($A$13+273.15)/647.096)+1.84408259*(1-($A$13+273.15)/647.096)^1.5-11.7866497*(1-($A$13+273.15)/647.096)^3+22.6807411*(1-($A$13+273.15)/647.096)^3.5-15.9618719*(1-($A$13+273.15)/647.096)^4+1.80122502*(1-($A$13+273.15)/647.096)^7.5))</f>
        <v>2303.21009246229</v>
      </c>
      <c r="C13" s="28" t="n">
        <f aca="false">($B$13)*EXP(-8.55445/(($A$13+273.15)/647.096)+4.01195*(1-(($A$13+273.15)/647.096))^0.355/(($A$13+273.15)/647.096)+9.52345*(($A$13+273.15)/647.096)^(-0.41)*EXP(1-(($A$13+273.15)/647.096)))</f>
        <v>143883988.256188</v>
      </c>
      <c r="D13" s="21" t="n">
        <f aca="false">IF(01_入力!$B$39=1,EXP(((0.000001*(19202.081-20032490/($A$13+273.15)+7075968700/($A$13+273.15)^2-870743060000/($A$13+273.15)^3))*($B$13)/(8.31446261815324*($A$13+273.15))+(0.018015268/((999.83952+16.945176*(($A$13+273.15)-273.15)-0.0079870401*(($A$13+273.15)-273.15)^2-0.000046170461*(($A$13+273.15)-273.15)^3+0.00000010556302*(($A$13+273.15)-273.15)^4-0.00000000028054253*(($A$13+273.15)-273.15)^5)/(1+0.01687985*(($A$13+273.15)-273.15))))*(((01_入力!$B$9*1000))-($B$13))/(8.31446261815324*($A$13+273.15))-((0.000001*(19202.081-20032490/($A$13+273.15)+7075968700/($A$13+273.15)^2-870743060000/($A$13+273.15)^3))*(2*(($B$13)/((01_入力!$B$9*1000)))-(($B$13)/((01_入力!$B$9*1000)))^2)+(2*(((0.000001*(-236.26407+204871.53/($A$13+273.15)-59999434/($A$13+273.15)^2))+01_入力!$B$38/1000000))-(0.000001*(75.188632-565.620467/(($A$13+273.15)/100)+601.464888/(($A$13+273.15)/100)^2-2018.286032/(($A$13+273.15)/100)^3)))*(1-(($B$13)/((01_入力!$B$9*1000))))^2)*((01_入力!$B$9*1000))/(8.31446261815324*($A$13+273.15))+LN(1-(((01_入力!$B$9*1000))-($B$13))/($C$13)))),1)</f>
        <v>1.01798379139376</v>
      </c>
      <c r="E13" s="22" t="n">
        <f aca="false">100*03_湿度状態点!$F$36*(01_入力!$B$9*1000)/($D$13*$B$13)</f>
        <v>71.0926757580484</v>
      </c>
      <c r="F13" s="22" t="n">
        <f aca="false">$E$13-100*01_入力!$B$8</f>
        <v>1.09267575804837</v>
      </c>
      <c r="G13" s="22" t="n">
        <f aca="false">$A$13-03_湿度状態点!$F$44</f>
        <v>5.38228573134489</v>
      </c>
    </row>
    <row r="14" customFormat="false" ht="15" hidden="false" customHeight="false" outlineLevel="0" collapsed="false">
      <c r="A14" s="39" t="n">
        <v>20</v>
      </c>
      <c r="B14" s="22" t="n">
        <f aca="false">22064000*EXP(647.096/($A$14+273.15)*(-7.85951783*(1-($A$14+273.15)/647.096)+1.84408259*(1-($A$14+273.15)/647.096)^1.5-11.7866497*(1-($A$14+273.15)/647.096)^3+22.6807411*(1-($A$14+273.15)/647.096)^3.5-15.9618719*(1-($A$14+273.15)/647.096)^4+1.80122502*(1-($A$14+273.15)/647.096)^7.5))</f>
        <v>2339.19373662275</v>
      </c>
      <c r="C14" s="28" t="n">
        <f aca="false">($B$14)*EXP(-8.55445/(($A$14+273.15)/647.096)+4.01195*(1-(($A$14+273.15)/647.096))^0.355/(($A$14+273.15)/647.096)+9.52345*(($A$14+273.15)/647.096)^(-0.41)*EXP(1-(($A$14+273.15)/647.096)))</f>
        <v>144888590.898551</v>
      </c>
      <c r="D14" s="21" t="n">
        <f aca="false">IF(01_入力!$B$39=1,EXP(((0.000001*(19202.081-20032490/($A$14+273.15)+7075968700/($A$14+273.15)^2-870743060000/($A$14+273.15)^3))*($B$14)/(8.31446261815324*($A$14+273.15))+(0.018015268/((999.83952+16.945176*(($A$14+273.15)-273.15)-0.0079870401*(($A$14+273.15)-273.15)^2-0.000046170461*(($A$14+273.15)-273.15)^3+0.00000010556302*(($A$14+273.15)-273.15)^4-0.00000000028054253*(($A$14+273.15)-273.15)^5)/(1+0.01687985*(($A$14+273.15)-273.15))))*(((01_入力!$B$9*1000))-($B$14))/(8.31446261815324*($A$14+273.15))-((0.000001*(19202.081-20032490/($A$14+273.15)+7075968700/($A$14+273.15)^2-870743060000/($A$14+273.15)^3))*(2*(($B$14)/((01_入力!$B$9*1000)))-(($B$14)/((01_入力!$B$9*1000)))^2)+(2*(((0.000001*(-236.26407+204871.53/($A$14+273.15)-59999434/($A$14+273.15)^2))+01_入力!$B$38/1000000))-(0.000001*(75.188632-565.620467/(($A$14+273.15)/100)+601.464888/(($A$14+273.15)/100)^2-2018.286032/(($A$14+273.15)/100)^3)))*(1-(($B$14)/((01_入力!$B$9*1000))))^2)*((01_入力!$B$9*1000))/(8.31446261815324*($A$14+273.15))+LN(1-(((01_入力!$B$9*1000))-($B$14))/($C$14)))),1)</f>
        <v>1.01793114361243</v>
      </c>
      <c r="E14" s="22" t="n">
        <f aca="false">100*03_湿度状態点!$F$36*(01_入力!$B$9*1000)/($D$14*$B$14)</f>
        <v>70.0026827652211</v>
      </c>
      <c r="F14" s="22" t="n">
        <f aca="false">$E$14-100*01_入力!$B$8</f>
        <v>0.00268276522109545</v>
      </c>
      <c r="G14" s="22" t="n">
        <f aca="false">$A$14-03_湿度状態点!$F$44</f>
        <v>5.63228573134489</v>
      </c>
    </row>
    <row r="15" customFormat="false" ht="15" hidden="false" customHeight="false" outlineLevel="0" collapsed="false">
      <c r="A15" s="39" t="n">
        <v>20.25</v>
      </c>
      <c r="B15" s="22" t="n">
        <f aca="false">22064000*EXP(647.096/($A$15+273.15)*(-7.85951783*(1-($A$15+273.15)/647.096)+1.84408259*(1-($A$15+273.15)/647.096)^1.5-11.7866497*(1-($A$15+273.15)/647.096)^3+22.6807411*(1-($A$15+273.15)/647.096)^3.5-15.9618719*(1-($A$15+273.15)/647.096)^4+1.80122502*(1-($A$15+273.15)/647.096)^7.5))</f>
        <v>2375.66846532184</v>
      </c>
      <c r="C15" s="28" t="n">
        <f aca="false">($B$15)*EXP(-8.55445/(($A$15+273.15)/647.096)+4.01195*(1-(($A$15+273.15)/647.096))^0.355/(($A$15+273.15)/647.096)+9.52345*(($A$15+273.15)/647.096)^(-0.41)*EXP(1-(($A$15+273.15)/647.096)))</f>
        <v>145896468.010257</v>
      </c>
      <c r="D15" s="21" t="n">
        <f aca="false">IF(01_入力!$B$39=1,EXP(((0.000001*(19202.081-20032490/($A$15+273.15)+7075968700/($A$15+273.15)^2-870743060000/($A$15+273.15)^3))*($B$15)/(8.31446261815324*($A$15+273.15))+(0.018015268/((999.83952+16.945176*(($A$15+273.15)-273.15)-0.0079870401*(($A$15+273.15)-273.15)^2-0.000046170461*(($A$15+273.15)-273.15)^3+0.00000010556302*(($A$15+273.15)-273.15)^4-0.00000000028054253*(($A$15+273.15)-273.15)^5)/(1+0.01687985*(($A$15+273.15)-273.15))))*(((01_入力!$B$9*1000))-($B$15))/(8.31446261815324*($A$15+273.15))-((0.000001*(19202.081-20032490/($A$15+273.15)+7075968700/($A$15+273.15)^2-870743060000/($A$15+273.15)^3))*(2*(($B$15)/((01_入力!$B$9*1000)))-(($B$15)/((01_入力!$B$9*1000)))^2)+(2*(((0.000001*(-236.26407+204871.53/($A$15+273.15)-59999434/($A$15+273.15)^2))+01_入力!$B$38/1000000))-(0.000001*(75.188632-565.620467/(($A$15+273.15)/100)+601.464888/(($A$15+273.15)/100)^2-2018.286032/(($A$15+273.15)/100)^3)))*(1-(($B$15)/((01_入力!$B$9*1000))))^2)*((01_入力!$B$9*1000))/(8.31446261815324*($A$15+273.15))+LN(1-(((01_入力!$B$9*1000))-($B$15))/($C$15)))),1)</f>
        <v>1.01787873235231</v>
      </c>
      <c r="E15" s="22" t="n">
        <f aca="false">100*03_湿度状態点!$F$36*(01_入力!$B$9*1000)/($D$15*$B$15)</f>
        <v>68.9314485799638</v>
      </c>
      <c r="F15" s="22" t="n">
        <f aca="false">$E$15-100*01_入力!$B$8</f>
        <v>-1.06855142003622</v>
      </c>
      <c r="G15" s="22" t="n">
        <f aca="false">$A$15-03_湿度状態点!$F$44</f>
        <v>5.88228573134489</v>
      </c>
    </row>
    <row r="16" customFormat="false" ht="15" hidden="false" customHeight="false" outlineLevel="0" collapsed="false">
      <c r="A16" s="39" t="n">
        <v>20.5</v>
      </c>
      <c r="B16" s="22" t="n">
        <f aca="false">22064000*EXP(647.096/($A$16+273.15)*(-7.85951783*(1-($A$16+273.15)/647.096)+1.84408259*(1-($A$16+273.15)/647.096)^1.5-11.7866497*(1-($A$16+273.15)/647.096)^3+22.6807411*(1-($A$16+273.15)/647.096)^3.5-15.9618719*(1-($A$16+273.15)/647.096)^4+1.80122502*(1-($A$16+273.15)/647.096)^7.5))</f>
        <v>2412.63992940443</v>
      </c>
      <c r="C16" s="28" t="n">
        <f aca="false">($B$16)*EXP(-8.55445/(($A$16+273.15)/647.096)+4.01195*(1-(($A$16+273.15)/647.096))^0.355/(($A$16+273.15)/647.096)+9.52345*(($A$16+273.15)/647.096)^(-0.41)*EXP(1-(($A$16+273.15)/647.096)))</f>
        <v>146907602.50275</v>
      </c>
      <c r="D16" s="21" t="n">
        <f aca="false">IF(01_入力!$B$39=1,EXP(((0.000001*(19202.081-20032490/($A$16+273.15)+7075968700/($A$16+273.15)^2-870743060000/($A$16+273.15)^3))*($B$16)/(8.31446261815324*($A$16+273.15))+(0.018015268/((999.83952+16.945176*(($A$16+273.15)-273.15)-0.0079870401*(($A$16+273.15)-273.15)^2-0.000046170461*(($A$16+273.15)-273.15)^3+0.00000010556302*(($A$16+273.15)-273.15)^4-0.00000000028054253*(($A$16+273.15)-273.15)^5)/(1+0.01687985*(($A$16+273.15)-273.15))))*(((01_入力!$B$9*1000))-($B$16))/(8.31446261815324*($A$16+273.15))-((0.000001*(19202.081-20032490/($A$16+273.15)+7075968700/($A$16+273.15)^2-870743060000/($A$16+273.15)^3))*(2*(($B$16)/((01_入力!$B$9*1000)))-(($B$16)/((01_入力!$B$9*1000)))^2)+(2*(((0.000001*(-236.26407+204871.53/($A$16+273.15)-59999434/($A$16+273.15)^2))+01_入力!$B$38/1000000))-(0.000001*(75.188632-565.620467/(($A$16+273.15)/100)+601.464888/(($A$16+273.15)/100)^2-2018.286032/(($A$16+273.15)/100)^3)))*(1-(($B$16)/((01_入力!$B$9*1000))))^2)*((01_入力!$B$9*1000))/(8.31446261815324*($A$16+273.15))+LN(1-(((01_入力!$B$9*1000))-($B$16))/($C$16)))),1)</f>
        <v>1.01782655686257</v>
      </c>
      <c r="E16" s="22" t="n">
        <f aca="false">100*03_湿度状態点!$F$36*(01_入力!$B$9*1000)/($D$16*$B$16)</f>
        <v>67.8786176034294</v>
      </c>
      <c r="F16" s="22" t="n">
        <f aca="false">$E$16-100*01_入力!$B$8</f>
        <v>-2.12138239657058</v>
      </c>
      <c r="G16" s="22" t="n">
        <f aca="false">$A$16-03_湿度状態点!$F$44</f>
        <v>6.13228573134489</v>
      </c>
    </row>
    <row r="17" customFormat="false" ht="15" hidden="false" customHeight="false" outlineLevel="0" collapsed="false">
      <c r="A17" s="39" t="n">
        <v>20.75</v>
      </c>
      <c r="B17" s="22" t="n">
        <f aca="false">22064000*EXP(647.096/($A$17+273.15)*(-7.85951783*(1-($A$17+273.15)/647.096)+1.84408259*(1-($A$17+273.15)/647.096)^1.5-11.7866497*(1-($A$17+273.15)/647.096)^3+22.6807411*(1-($A$17+273.15)/647.096)^3.5-15.9618719*(1-($A$17+273.15)/647.096)^4+1.80122502*(1-($A$17+273.15)/647.096)^7.5))</f>
        <v>2450.11383116848</v>
      </c>
      <c r="C17" s="28" t="n">
        <f aca="false">($B$17)*EXP(-8.55445/(($A$17+273.15)/647.096)+4.01195*(1-(($A$17+273.15)/647.096))^0.355/(($A$17+273.15)/647.096)+9.52345*(($A$17+273.15)/647.096)^(-0.41)*EXP(1-(($A$17+273.15)/647.096)))</f>
        <v>147921977.122035</v>
      </c>
      <c r="D17" s="21" t="n">
        <f aca="false">IF(01_入力!$B$39=1,EXP(((0.000001*(19202.081-20032490/($A$17+273.15)+7075968700/($A$17+273.15)^2-870743060000/($A$17+273.15)^3))*($B$17)/(8.31446261815324*($A$17+273.15))+(0.018015268/((999.83952+16.945176*(($A$17+273.15)-273.15)-0.0079870401*(($A$17+273.15)-273.15)^2-0.000046170461*(($A$17+273.15)-273.15)^3+0.00000010556302*(($A$17+273.15)-273.15)^4-0.00000000028054253*(($A$17+273.15)-273.15)^5)/(1+0.01687985*(($A$17+273.15)-273.15))))*(((01_入力!$B$9*1000))-($B$17))/(8.31446261815324*($A$17+273.15))-((0.000001*(19202.081-20032490/($A$17+273.15)+7075968700/($A$17+273.15)^2-870743060000/($A$17+273.15)^3))*(2*(($B$17)/((01_入力!$B$9*1000)))-(($B$17)/((01_入力!$B$9*1000)))^2)+(2*(((0.000001*(-236.26407+204871.53/($A$17+273.15)-59999434/($A$17+273.15)^2))+01_入力!$B$38/1000000))-(0.000001*(75.188632-565.620467/(($A$17+273.15)/100)+601.464888/(($A$17+273.15)/100)^2-2018.286032/(($A$17+273.15)/100)^3)))*(1-(($B$17)/((01_入力!$B$9*1000))))^2)*((01_入力!$B$9*1000))/(8.31446261815324*($A$17+273.15))+LN(1-(((01_入力!$B$9*1000))-($B$17))/($C$17)))),1)</f>
        <v>1.01777461638405</v>
      </c>
      <c r="E17" s="22" t="n">
        <f aca="false">100*03_湿度状態点!$F$36*(01_入力!$B$9*1000)/($D$17*$B$17)</f>
        <v>66.8438415659323</v>
      </c>
      <c r="F17" s="22" t="n">
        <f aca="false">$E$17-100*01_入力!$B$8</f>
        <v>-3.15615843406773</v>
      </c>
      <c r="G17" s="22" t="n">
        <f aca="false">$A$17-03_湿度状態点!$F$44</f>
        <v>6.38228573134489</v>
      </c>
    </row>
    <row r="18" customFormat="false" ht="15" hidden="false" customHeight="false" outlineLevel="0" collapsed="false">
      <c r="A18" s="39" t="n">
        <v>21</v>
      </c>
      <c r="B18" s="22" t="n">
        <f aca="false">22064000*EXP(647.096/($A$18+273.15)*(-7.85951783*(1-($A$18+273.15)/647.096)+1.84408259*(1-($A$18+273.15)/647.096)^1.5-11.7866497*(1-($A$18+273.15)/647.096)^3+22.6807411*(1-($A$18+273.15)/647.096)^3.5-15.9618719*(1-($A$18+273.15)/647.096)^4+1.80122502*(1-($A$18+273.15)/647.096)^7.5))</f>
        <v>2488.09592468481</v>
      </c>
      <c r="C18" s="28" t="n">
        <f aca="false">($B$18)*EXP(-8.55445/(($A$18+273.15)/647.096)+4.01195*(1-(($A$18+273.15)/647.096))^0.355/(($A$18+273.15)/647.096)+9.52345*(($A$18+273.15)/647.096)^(-0.41)*EXP(1-(($A$18+273.15)/647.096)))</f>
        <v>148939574.449855</v>
      </c>
      <c r="D18" s="21" t="n">
        <f aca="false">IF(01_入力!$B$39=1,EXP(((0.000001*(19202.081-20032490/($A$18+273.15)+7075968700/($A$18+273.15)^2-870743060000/($A$18+273.15)^3))*($B$18)/(8.31446261815324*($A$18+273.15))+(0.018015268/((999.83952+16.945176*(($A$18+273.15)-273.15)-0.0079870401*(($A$18+273.15)-273.15)^2-0.000046170461*(($A$18+273.15)-273.15)^3+0.00000010556302*(($A$18+273.15)-273.15)^4-0.00000000028054253*(($A$18+273.15)-273.15)^5)/(1+0.01687985*(($A$18+273.15)-273.15))))*(((01_入力!$B$9*1000))-($B$18))/(8.31446261815324*($A$18+273.15))-((0.000001*(19202.081-20032490/($A$18+273.15)+7075968700/($A$18+273.15)^2-870743060000/($A$18+273.15)^3))*(2*(($B$18)/((01_入力!$B$9*1000)))-(($B$18)/((01_入力!$B$9*1000)))^2)+(2*(((0.000001*(-236.26407+204871.53/($A$18+273.15)-59999434/($A$18+273.15)^2))+01_入力!$B$38/1000000))-(0.000001*(75.188632-565.620467/(($A$18+273.15)/100)+601.464888/(($A$18+273.15)/100)^2-2018.286032/(($A$18+273.15)/100)^3)))*(1-(($B$18)/((01_入力!$B$9*1000))))^2)*((01_入力!$B$9*1000))/(8.31446261815324*($A$18+273.15))+LN(1-(((01_入力!$B$9*1000))-($B$18))/($C$18)))),1)</f>
        <v>1.0177229101493</v>
      </c>
      <c r="E18" s="22" t="n">
        <f aca="false">100*03_湿度状態点!$F$36*(01_入力!$B$9*1000)/($D$18*$B$18)</f>
        <v>65.8267793642764</v>
      </c>
      <c r="F18" s="22" t="n">
        <f aca="false">$E$18-100*01_入力!$B$8</f>
        <v>-4.1732206357236</v>
      </c>
      <c r="G18" s="22" t="n">
        <f aca="false">$A$18-03_湿度状態点!$F$44</f>
        <v>6.63228573134489</v>
      </c>
    </row>
    <row r="19" customFormat="false" ht="15" hidden="false" customHeight="false" outlineLevel="0" collapsed="false">
      <c r="A19" s="39" t="n">
        <v>21.25</v>
      </c>
      <c r="B19" s="22" t="n">
        <f aca="false">22064000*EXP(647.096/($A$19+273.15)*(-7.85951783*(1-($A$19+273.15)/647.096)+1.84408259*(1-($A$19+273.15)/647.096)^1.5-11.7866497*(1-($A$19+273.15)/647.096)^3+22.6807411*(1-($A$19+273.15)/647.096)^3.5-15.9618719*(1-($A$19+273.15)/647.096)^4+1.80122502*(1-($A$19+273.15)/647.096)^7.5))</f>
        <v>2526.59201611761</v>
      </c>
      <c r="C19" s="28" t="n">
        <f aca="false">($B$19)*EXP(-8.55445/(($A$19+273.15)/647.096)+4.01195*(1-(($A$19+273.15)/647.096))^0.355/(($A$19+273.15)/647.096)+9.52345*(($A$19+273.15)/647.096)^(-0.41)*EXP(1-(($A$19+273.15)/647.096)))</f>
        <v>149960376.90491</v>
      </c>
      <c r="D19" s="21" t="n">
        <f aca="false">IF(01_入力!$B$39=1,EXP(((0.000001*(19202.081-20032490/($A$19+273.15)+7075968700/($A$19+273.15)^2-870743060000/($A$19+273.15)^3))*($B$19)/(8.31446261815324*($A$19+273.15))+(0.018015268/((999.83952+16.945176*(($A$19+273.15)-273.15)-0.0079870401*(($A$19+273.15)-273.15)^2-0.000046170461*(($A$19+273.15)-273.15)^3+0.00000010556302*(($A$19+273.15)-273.15)^4-0.00000000028054253*(($A$19+273.15)-273.15)^5)/(1+0.01687985*(($A$19+273.15)-273.15))))*(((01_入力!$B$9*1000))-($B$19))/(8.31446261815324*($A$19+273.15))-((0.000001*(19202.081-20032490/($A$19+273.15)+7075968700/($A$19+273.15)^2-870743060000/($A$19+273.15)^3))*(2*(($B$19)/((01_入力!$B$9*1000)))-(($B$19)/((01_入力!$B$9*1000)))^2)+(2*(((0.000001*(-236.26407+204871.53/($A$19+273.15)-59999434/($A$19+273.15)^2))+01_入力!$B$38/1000000))-(0.000001*(75.188632-565.620467/(($A$19+273.15)/100)+601.464888/(($A$19+273.15)/100)^2-2018.286032/(($A$19+273.15)/100)^3)))*(1-(($B$19)/((01_入力!$B$9*1000))))^2)*((01_入力!$B$9*1000))/(8.31446261815324*($A$19+273.15))+LN(1-(((01_入力!$B$9*1000))-($B$19))/($C$19)))),1)</f>
        <v>1.01767143738266</v>
      </c>
      <c r="E19" s="22" t="n">
        <f aca="false">100*03_湿度状態点!$F$36*(01_入力!$B$9*1000)/($D$19*$B$19)</f>
        <v>64.8270969029419</v>
      </c>
      <c r="F19" s="22" t="n">
        <f aca="false">$E$19-100*01_入力!$B$8</f>
        <v>-5.17290309705807</v>
      </c>
      <c r="G19" s="22" t="n">
        <f aca="false">$A$19-03_湿度状態点!$F$44</f>
        <v>6.88228573134489</v>
      </c>
    </row>
    <row r="20" customFormat="false" ht="15" hidden="false" customHeight="false" outlineLevel="0" collapsed="false">
      <c r="A20" s="39" t="n">
        <v>21.5</v>
      </c>
      <c r="B20" s="22" t="n">
        <f aca="false">22064000*EXP(647.096/($A$20+273.15)*(-7.85951783*(1-($A$20+273.15)/647.096)+1.84408259*(1-($A$20+273.15)/647.096)^1.5-11.7866497*(1-($A$20+273.15)/647.096)^3+22.6807411*(1-($A$20+273.15)/647.096)^3.5-15.9618719*(1-($A$20+273.15)/647.096)^4+1.80122502*(1-($A$20+273.15)/647.096)^7.5))</f>
        <v>2565.60796404568</v>
      </c>
      <c r="C20" s="28" t="n">
        <f aca="false">($B$20)*EXP(-8.55445/(($A$20+273.15)/647.096)+4.01195*(1-(($A$20+273.15)/647.096))^0.355/(($A$20+273.15)/647.096)+9.52345*(($A$20+273.15)/647.096)^(-0.41)*EXP(1-(($A$20+273.15)/647.096)))</f>
        <v>150984366.74406</v>
      </c>
      <c r="D20" s="21" t="n">
        <f aca="false">IF(01_入力!$B$39=1,EXP(((0.000001*(19202.081-20032490/($A$20+273.15)+7075968700/($A$20+273.15)^2-870743060000/($A$20+273.15)^3))*($B$20)/(8.31446261815324*($A$20+273.15))+(0.018015268/((999.83952+16.945176*(($A$20+273.15)-273.15)-0.0079870401*(($A$20+273.15)-273.15)^2-0.000046170461*(($A$20+273.15)-273.15)^3+0.00000010556302*(($A$20+273.15)-273.15)^4-0.00000000028054253*(($A$20+273.15)-273.15)^5)/(1+0.01687985*(($A$20+273.15)-273.15))))*(((01_入力!$B$9*1000))-($B$20))/(8.31446261815324*($A$20+273.15))-((0.000001*(19202.081-20032490/($A$20+273.15)+7075968700/($A$20+273.15)^2-870743060000/($A$20+273.15)^3))*(2*(($B$20)/((01_入力!$B$9*1000)))-(($B$20)/((01_入力!$B$9*1000)))^2)+(2*(((0.000001*(-236.26407+204871.53/($A$20+273.15)-59999434/($A$20+273.15)^2))+01_入力!$B$38/1000000))-(0.000001*(75.188632-565.620467/(($A$20+273.15)/100)+601.464888/(($A$20+273.15)/100)^2-2018.286032/(($A$20+273.15)/100)^3)))*(1-(($B$20)/((01_入力!$B$9*1000))))^2)*((01_入力!$B$9*1000))/(8.31446261815324*($A$20+273.15))+LN(1-(((01_入力!$B$9*1000))-($B$20))/($C$20)))),1)</f>
        <v>1.01762019730035</v>
      </c>
      <c r="E20" s="22" t="n">
        <f aca="false">100*03_湿度状態点!$F$36*(01_入力!$B$9*1000)/($D$20*$B$20)</f>
        <v>63.844466939033</v>
      </c>
      <c r="F20" s="22" t="n">
        <f aca="false">$E$20-100*01_入力!$B$8</f>
        <v>-6.15553306096699</v>
      </c>
      <c r="G20" s="22" t="n">
        <f aca="false">$A$20-03_湿度状態点!$F$44</f>
        <v>7.13228573134489</v>
      </c>
    </row>
    <row r="21" customFormat="false" ht="15" hidden="false" customHeight="false" outlineLevel="0" collapsed="false">
      <c r="A21" s="39" t="n">
        <v>21.75</v>
      </c>
      <c r="B21" s="22" t="n">
        <f aca="false">22064000*EXP(647.096/($A$21+273.15)*(-7.85951783*(1-($A$21+273.15)/647.096)+1.84408259*(1-($A$21+273.15)/647.096)^1.5-11.7866497*(1-($A$21+273.15)/647.096)^3+22.6807411*(1-($A$21+273.15)/647.096)^3.5-15.9618719*(1-($A$21+273.15)/647.096)^4+1.80122502*(1-($A$21+273.15)/647.096)^7.5))</f>
        <v>2605.14967978409</v>
      </c>
      <c r="C21" s="28" t="n">
        <f aca="false">($B$21)*EXP(-8.55445/(($A$21+273.15)/647.096)+4.01195*(1-(($A$21+273.15)/647.096))^0.355/(($A$21+273.15)/647.096)+9.52345*(($A$21+273.15)/647.096)^(-0.41)*EXP(1-(($A$21+273.15)/647.096)))</f>
        <v>152011526.063557</v>
      </c>
      <c r="D21" s="21" t="n">
        <f aca="false">IF(01_入力!$B$39=1,EXP(((0.000001*(19202.081-20032490/($A$21+273.15)+7075968700/($A$21+273.15)^2-870743060000/($A$21+273.15)^3))*($B$21)/(8.31446261815324*($A$21+273.15))+(0.018015268/((999.83952+16.945176*(($A$21+273.15)-273.15)-0.0079870401*(($A$21+273.15)-273.15)^2-0.000046170461*(($A$21+273.15)-273.15)^3+0.00000010556302*(($A$21+273.15)-273.15)^4-0.00000000028054253*(($A$21+273.15)-273.15)^5)/(1+0.01687985*(($A$21+273.15)-273.15))))*(((01_入力!$B$9*1000))-($B$21))/(8.31446261815324*($A$21+273.15))-((0.000001*(19202.081-20032490/($A$21+273.15)+7075968700/($A$21+273.15)^2-870743060000/($A$21+273.15)^3))*(2*(($B$21)/((01_入力!$B$9*1000)))-(($B$21)/((01_入力!$B$9*1000)))^2)+(2*(((0.000001*(-236.26407+204871.53/($A$21+273.15)-59999434/($A$21+273.15)^2))+01_入力!$B$38/1000000))-(0.000001*(75.188632-565.620467/(($A$21+273.15)/100)+601.464888/(($A$21+273.15)/100)^2-2018.286032/(($A$21+273.15)/100)^3)))*(1-(($B$21)/((01_入力!$B$9*1000))))^2)*((01_入力!$B$9*1000))/(8.31446261815324*($A$21+273.15))+LN(1-(((01_入力!$B$9*1000))-($B$21))/($C$21)))),1)</f>
        <v>1.01756918911049</v>
      </c>
      <c r="E21" s="22" t="n">
        <f aca="false">100*03_湿度状態点!$F$36*(01_入力!$B$9*1000)/($D$21*$B$21)</f>
        <v>62.8785689308956</v>
      </c>
      <c r="F21" s="22" t="n">
        <f aca="false">$E$21-100*01_入力!$B$8</f>
        <v>-7.12143106910445</v>
      </c>
      <c r="G21" s="22" t="n">
        <f aca="false">$A$21-03_湿度状態点!$F$44</f>
        <v>7.38228573134489</v>
      </c>
    </row>
    <row r="22" customFormat="false" ht="15" hidden="false" customHeight="false" outlineLevel="0" collapsed="false">
      <c r="A22" s="39" t="n">
        <v>22</v>
      </c>
      <c r="B22" s="22" t="n">
        <f aca="false">22064000*EXP(647.096/($A$22+273.15)*(-7.85951783*(1-($A$22+273.15)/647.096)+1.84408259*(1-($A$22+273.15)/647.096)^1.5-11.7866497*(1-($A$22+273.15)/647.096)^3+22.6807411*(1-($A$22+273.15)/647.096)^3.5-15.9618719*(1-($A$22+273.15)/647.096)^4+1.80122502*(1-($A$22+273.15)/647.096)^7.5))</f>
        <v>2645.22312770677</v>
      </c>
      <c r="C22" s="28" t="n">
        <f aca="false">($B$22)*EXP(-8.55445/(($A$22+273.15)/647.096)+4.01195*(1-(($A$22+273.15)/647.096))^0.355/(($A$22+273.15)/647.096)+9.52345*(($A$22+273.15)/647.096)^(-0.41)*EXP(1-(($A$22+273.15)/647.096)))</f>
        <v>153041836.800275</v>
      </c>
      <c r="D22" s="21" t="n">
        <f aca="false">IF(01_入力!$B$39=1,EXP(((0.000001*(19202.081-20032490/($A$22+273.15)+7075968700/($A$22+273.15)^2-870743060000/($A$22+273.15)^3))*($B$22)/(8.31446261815324*($A$22+273.15))+(0.018015268/((999.83952+16.945176*(($A$22+273.15)-273.15)-0.0079870401*(($A$22+273.15)-273.15)^2-0.000046170461*(($A$22+273.15)-273.15)^3+0.00000010556302*(($A$22+273.15)-273.15)^4-0.00000000028054253*(($A$22+273.15)-273.15)^5)/(1+0.01687985*(($A$22+273.15)-273.15))))*(((01_入力!$B$9*1000))-($B$22))/(8.31446261815324*($A$22+273.15))-((0.000001*(19202.081-20032490/($A$22+273.15)+7075968700/($A$22+273.15)^2-870743060000/($A$22+273.15)^3))*(2*(($B$22)/((01_入力!$B$9*1000)))-(($B$22)/((01_入力!$B$9*1000)))^2)+(2*(((0.000001*(-236.26407+204871.53/($A$22+273.15)-59999434/($A$22+273.15)^2))+01_入力!$B$38/1000000))-(0.000001*(75.188632-565.620467/(($A$22+273.15)/100)+601.464888/(($A$22+273.15)/100)^2-2018.286032/(($A$22+273.15)/100)^3)))*(1-(($B$22)/((01_入力!$B$9*1000))))^2)*((01_入力!$B$9*1000))/(8.31446261815324*($A$22+273.15))+LN(1-(((01_入力!$B$9*1000))-($B$22))/($C$22)))),1)</f>
        <v>1.01751841201315</v>
      </c>
      <c r="E22" s="22" t="n">
        <f aca="false">100*03_湿度状態点!$F$36*(01_入力!$B$9*1000)/($D$22*$B$22)</f>
        <v>61.9290888903065</v>
      </c>
      <c r="F22" s="22" t="n">
        <f aca="false">$E$22-100*01_入力!$B$8</f>
        <v>-8.07091110969354</v>
      </c>
      <c r="G22" s="22" t="n">
        <f aca="false">$A$22-03_湿度状態点!$F$44</f>
        <v>7.63228573134489</v>
      </c>
    </row>
    <row r="23" customFormat="false" ht="15" hidden="false" customHeight="false" outlineLevel="0" collapsed="false">
      <c r="A23" s="3" t="s">
        <v>495</v>
      </c>
      <c r="E23" s="32" t="n">
        <f aca="false">($E$22-$E$6)/($A$22-$A$6)</f>
        <v>-4.33756818829166</v>
      </c>
      <c r="F23" s="11" t="s">
        <v>496</v>
      </c>
      <c r="G23" s="6" t="s">
        <v>497</v>
      </c>
    </row>
    <row r="24" customFormat="false" ht="15" hidden="false" customHeight="false" outlineLevel="0" collapsed="false">
      <c r="A24" s="40" t="s">
        <v>498</v>
      </c>
      <c r="E24" s="32" t="n">
        <f aca="false">1/ABS($E$23)</f>
        <v>0.230543926133377</v>
      </c>
      <c r="F24" s="11" t="s">
        <v>155</v>
      </c>
    </row>
    <row r="26" customFormat="false" ht="15" hidden="false" customHeight="false" outlineLevel="0" collapsed="false">
      <c r="A26" s="7" t="s">
        <v>499</v>
      </c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26" t="s">
        <v>500</v>
      </c>
      <c r="B27" s="26" t="s">
        <v>501</v>
      </c>
      <c r="C27" s="17" t="s">
        <v>490</v>
      </c>
      <c r="D27" s="17" t="s">
        <v>491</v>
      </c>
      <c r="E27" s="17" t="s">
        <v>492</v>
      </c>
      <c r="F27" s="26" t="s">
        <v>493</v>
      </c>
    </row>
    <row r="28" customFormat="false" ht="15" hidden="false" customHeight="false" outlineLevel="0" collapsed="false">
      <c r="A28" s="39" t="n">
        <v>16</v>
      </c>
      <c r="B28" s="19" t="n">
        <f aca="false">((01_入力!$B$5+$A$28)*1000)</f>
        <v>117325</v>
      </c>
      <c r="C28" s="28" t="n">
        <f aca="false">(22064000*EXP(647.096/(01_入力!$B$7+273.15)*(-7.85951783*(1-(01_入力!$B$7+273.15)/647.096)+1.84408259*(1-(01_入力!$B$7+273.15)/647.096)^1.5-11.7866497*(1-(01_入力!$B$7+273.15)/647.096)^3+22.6807411*(1-(01_入力!$B$7+273.15)/647.096)^3.5-15.9618719*(1-(01_入力!$B$7+273.15)/647.096)^4+1.80122502*(1-(01_入力!$B$7+273.15)/647.096)^7.5)))*EXP(-8.55445/((01_入力!$B$7+273.15)/647.096)+4.01195*(1-((01_入力!$B$7+273.15)/647.096))^0.355/((01_入力!$B$7+273.15)/647.096)+9.52345*((01_入力!$B$7+273.15)/647.096)^(-0.41)*EXP(1-((01_入力!$B$7+273.15)/647.096)))</f>
        <v>144888590.898551</v>
      </c>
      <c r="D28" s="21" t="n">
        <f aca="false">IF(01_入力!$B$39=1,EXP(((0.000001*(19202.081-20032490/(01_入力!$B$7+273.15)+7075968700/(01_入力!$B$7+273.15)^2-870743060000/(01_入力!$B$7+273.15)^3))*($H$1)/(8.31446261815324*(01_入力!$B$7+273.15))+(0.018015268/((999.83952+16.945176*((01_入力!$B$7+273.15)-273.15)-0.0079870401*((01_入力!$B$7+273.15)-273.15)^2-0.000046170461*((01_入力!$B$7+273.15)-273.15)^3+0.00000010556302*((01_入力!$B$7+273.15)-273.15)^4-0.00000000028054253*((01_入力!$B$7+273.15)-273.15)^5)/(1+0.01687985*((01_入力!$B$7+273.15)-273.15))))*((((01_入力!$B$5+$A$28)*1000))-($H$1))/(8.31446261815324*(01_入力!$B$7+273.15))-((0.000001*(19202.081-20032490/(01_入力!$B$7+273.15)+7075968700/(01_入力!$B$7+273.15)^2-870743060000/(01_入力!$B$7+273.15)^3))*(2*(($H$1)/(((01_入力!$B$5+$A$28)*1000)))-(($H$1)/(((01_入力!$B$5+$A$28)*1000)))^2)+(2*(((0.000001*(-236.26407+204871.53/(01_入力!$B$7+273.15)-59999434/(01_入力!$B$7+273.15)^2))+01_入力!$B$38/1000000))-(0.000001*(75.188632-565.620467/((01_入力!$B$7+273.15)/100)+601.464888/((01_入力!$B$7+273.15)/100)^2-2018.286032/((01_入力!$B$7+273.15)/100)^3)))*(1-(($H$1)/(((01_入力!$B$5+$A$28)*1000))))^2)*(((01_入力!$B$5+$A$28)*1000))/(8.31446261815324*(01_入力!$B$7+273.15))+LN(1-((((01_入力!$B$5+$A$28)*1000))-($H$1))/($C$28)))),1)</f>
        <v>1.01735517115905</v>
      </c>
      <c r="E28" s="22" t="n">
        <f aca="false">100*03_湿度状態点!$F$36*$B$28/($D$28*$H$1)</f>
        <v>67.7330686700594</v>
      </c>
      <c r="F28" s="22" t="n">
        <f aca="false">$E$28-100*01_入力!$B$8</f>
        <v>-2.26693132994059</v>
      </c>
    </row>
    <row r="29" customFormat="false" ht="15" hidden="false" customHeight="false" outlineLevel="0" collapsed="false">
      <c r="A29" s="39" t="n">
        <v>17</v>
      </c>
      <c r="B29" s="19" t="n">
        <f aca="false">((01_入力!$B$5+$A$29)*1000)</f>
        <v>118325</v>
      </c>
      <c r="C29" s="28" t="n">
        <f aca="false">(22064000*EXP(647.096/(01_入力!$B$7+273.15)*(-7.85951783*(1-(01_入力!$B$7+273.15)/647.096)+1.84408259*(1-(01_入力!$B$7+273.15)/647.096)^1.5-11.7866497*(1-(01_入力!$B$7+273.15)/647.096)^3+22.6807411*(1-(01_入力!$B$7+273.15)/647.096)^3.5-15.9618719*(1-(01_入力!$B$7+273.15)/647.096)^4+1.80122502*(1-(01_入力!$B$7+273.15)/647.096)^7.5)))*EXP(-8.55445/((01_入力!$B$7+273.15)/647.096)+4.01195*(1-((01_入力!$B$7+273.15)/647.096))^0.355/((01_入力!$B$7+273.15)/647.096)+9.52345*((01_入力!$B$7+273.15)/647.096)^(-0.41)*EXP(1-((01_入力!$B$7+273.15)/647.096)))</f>
        <v>144888590.898551</v>
      </c>
      <c r="D29" s="21" t="n">
        <f aca="false">IF(01_入力!$B$39=1,EXP(((0.000001*(19202.081-20032490/(01_入力!$B$7+273.15)+7075968700/(01_入力!$B$7+273.15)^2-870743060000/(01_入力!$B$7+273.15)^3))*($H$1)/(8.31446261815324*(01_入力!$B$7+273.15))+(0.018015268/((999.83952+16.945176*((01_入力!$B$7+273.15)-273.15)-0.0079870401*((01_入力!$B$7+273.15)-273.15)^2-0.000046170461*((01_入力!$B$7+273.15)-273.15)^3+0.00000010556302*((01_入力!$B$7+273.15)-273.15)^4-0.00000000028054253*((01_入力!$B$7+273.15)-273.15)^5)/(1+0.01687985*((01_入力!$B$7+273.15)-273.15))))*((((01_入力!$B$5+$A$29)*1000))-($H$1))/(8.31446261815324*(01_入力!$B$7+273.15))-((0.000001*(19202.081-20032490/(01_入力!$B$7+273.15)+7075968700/(01_入力!$B$7+273.15)^2-870743060000/(01_入力!$B$7+273.15)^3))*(2*(($H$1)/(((01_入力!$B$5+$A$29)*1000)))-(($H$1)/(((01_入力!$B$5+$A$29)*1000)))^2)+(2*(((0.000001*(-236.26407+204871.53/(01_入力!$B$7+273.15)-59999434/(01_入力!$B$7+273.15)^2))+01_入力!$B$38/1000000))-(0.000001*(75.188632-565.620467/((01_入力!$B$7+273.15)/100)+601.464888/((01_入力!$B$7+273.15)/100)^2-2018.286032/((01_入力!$B$7+273.15)/100)^3)))*(1-(($H$1)/(((01_入力!$B$5+$A$29)*1000))))^2)*(((01_入力!$B$5+$A$29)*1000))/(8.31446261815324*(01_入力!$B$7+273.15))+LN(1-((((01_入力!$B$5+$A$29)*1000))-($H$1))/($C$29)))),1)</f>
        <v>1.0174991379126</v>
      </c>
      <c r="E29" s="22" t="n">
        <f aca="false">100*03_湿度状態点!$F$36*$B$29/($D$29*$H$1)</f>
        <v>68.3007148544843</v>
      </c>
      <c r="F29" s="22" t="n">
        <f aca="false">$E$29-100*01_入力!$B$8</f>
        <v>-1.69928514551575</v>
      </c>
    </row>
    <row r="30" customFormat="false" ht="15" hidden="false" customHeight="false" outlineLevel="0" collapsed="false">
      <c r="A30" s="39" t="n">
        <v>18</v>
      </c>
      <c r="B30" s="19" t="n">
        <f aca="false">((01_入力!$B$5+$A$30)*1000)</f>
        <v>119325</v>
      </c>
      <c r="C30" s="28" t="n">
        <f aca="false">(22064000*EXP(647.096/(01_入力!$B$7+273.15)*(-7.85951783*(1-(01_入力!$B$7+273.15)/647.096)+1.84408259*(1-(01_入力!$B$7+273.15)/647.096)^1.5-11.7866497*(1-(01_入力!$B$7+273.15)/647.096)^3+22.6807411*(1-(01_入力!$B$7+273.15)/647.096)^3.5-15.9618719*(1-(01_入力!$B$7+273.15)/647.096)^4+1.80122502*(1-(01_入力!$B$7+273.15)/647.096)^7.5)))*EXP(-8.55445/((01_入力!$B$7+273.15)/647.096)+4.01195*(1-((01_入力!$B$7+273.15)/647.096))^0.355/((01_入力!$B$7+273.15)/647.096)+9.52345*((01_入力!$B$7+273.15)/647.096)^(-0.41)*EXP(1-((01_入力!$B$7+273.15)/647.096)))</f>
        <v>144888590.898551</v>
      </c>
      <c r="D30" s="21" t="n">
        <f aca="false">IF(01_入力!$B$39=1,EXP(((0.000001*(19202.081-20032490/(01_入力!$B$7+273.15)+7075968700/(01_入力!$B$7+273.15)^2-870743060000/(01_入力!$B$7+273.15)^3))*($H$1)/(8.31446261815324*(01_入力!$B$7+273.15))+(0.018015268/((999.83952+16.945176*((01_入力!$B$7+273.15)-273.15)-0.0079870401*((01_入力!$B$7+273.15)-273.15)^2-0.000046170461*((01_入力!$B$7+273.15)-273.15)^3+0.00000010556302*((01_入力!$B$7+273.15)-273.15)^4-0.00000000028054253*((01_入力!$B$7+273.15)-273.15)^5)/(1+0.01687985*((01_入力!$B$7+273.15)-273.15))))*((((01_入力!$B$5+$A$30)*1000))-($H$1))/(8.31446261815324*(01_入力!$B$7+273.15))-((0.000001*(19202.081-20032490/(01_入力!$B$7+273.15)+7075968700/(01_入力!$B$7+273.15)^2-870743060000/(01_入力!$B$7+273.15)^3))*(2*(($H$1)/(((01_入力!$B$5+$A$30)*1000)))-(($H$1)/(((01_入力!$B$5+$A$30)*1000)))^2)+(2*(((0.000001*(-236.26407+204871.53/(01_入力!$B$7+273.15)-59999434/(01_入力!$B$7+273.15)^2))+01_入力!$B$38/1000000))-(0.000001*(75.188632-565.620467/((01_入力!$B$7+273.15)/100)+601.464888/((01_入力!$B$7+273.15)/100)^2-2018.286032/((01_入力!$B$7+273.15)/100)^3)))*(1-(($H$1)/(((01_入力!$B$5+$A$30)*1000))))^2)*(((01_入力!$B$5+$A$30)*1000))/(8.31446261815324*(01_入力!$B$7+273.15))+LN(1-((((01_入力!$B$5+$A$30)*1000))-($H$1))/($C$30)))),1)</f>
        <v>1.01764312219208</v>
      </c>
      <c r="E30" s="22" t="n">
        <f aca="false">100*03_湿度状態点!$F$36*$B$30/($D$30*$H$1)</f>
        <v>68.8681992421694</v>
      </c>
      <c r="F30" s="22" t="n">
        <f aca="false">$E$30-100*01_入力!$B$8</f>
        <v>-1.13180075783065</v>
      </c>
    </row>
    <row r="31" customFormat="false" ht="15" hidden="false" customHeight="false" outlineLevel="0" collapsed="false">
      <c r="A31" s="39" t="n">
        <v>19</v>
      </c>
      <c r="B31" s="19" t="n">
        <f aca="false">((01_入力!$B$5+$A$31)*1000)</f>
        <v>120325</v>
      </c>
      <c r="C31" s="28" t="n">
        <f aca="false">(22064000*EXP(647.096/(01_入力!$B$7+273.15)*(-7.85951783*(1-(01_入力!$B$7+273.15)/647.096)+1.84408259*(1-(01_入力!$B$7+273.15)/647.096)^1.5-11.7866497*(1-(01_入力!$B$7+273.15)/647.096)^3+22.6807411*(1-(01_入力!$B$7+273.15)/647.096)^3.5-15.9618719*(1-(01_入力!$B$7+273.15)/647.096)^4+1.80122502*(1-(01_入力!$B$7+273.15)/647.096)^7.5)))*EXP(-8.55445/((01_入力!$B$7+273.15)/647.096)+4.01195*(1-((01_入力!$B$7+273.15)/647.096))^0.355/((01_入力!$B$7+273.15)/647.096)+9.52345*((01_入力!$B$7+273.15)/647.096)^(-0.41)*EXP(1-((01_入力!$B$7+273.15)/647.096)))</f>
        <v>144888590.898551</v>
      </c>
      <c r="D31" s="21" t="n">
        <f aca="false">IF(01_入力!$B$39=1,EXP(((0.000001*(19202.081-20032490/(01_入力!$B$7+273.15)+7075968700/(01_入力!$B$7+273.15)^2-870743060000/(01_入力!$B$7+273.15)^3))*($H$1)/(8.31446261815324*(01_入力!$B$7+273.15))+(0.018015268/((999.83952+16.945176*((01_入力!$B$7+273.15)-273.15)-0.0079870401*((01_入力!$B$7+273.15)-273.15)^2-0.000046170461*((01_入力!$B$7+273.15)-273.15)^3+0.00000010556302*((01_入力!$B$7+273.15)-273.15)^4-0.00000000028054253*((01_入力!$B$7+273.15)-273.15)^5)/(1+0.01687985*((01_入力!$B$7+273.15)-273.15))))*((((01_入力!$B$5+$A$31)*1000))-($H$1))/(8.31446261815324*(01_入力!$B$7+273.15))-((0.000001*(19202.081-20032490/(01_入力!$B$7+273.15)+7075968700/(01_入力!$B$7+273.15)^2-870743060000/(01_入力!$B$7+273.15)^3))*(2*(($H$1)/(((01_入力!$B$5+$A$31)*1000)))-(($H$1)/(((01_入力!$B$5+$A$31)*1000)))^2)+(2*(((0.000001*(-236.26407+204871.53/(01_入力!$B$7+273.15)-59999434/(01_入力!$B$7+273.15)^2))+01_入力!$B$38/1000000))-(0.000001*(75.188632-565.620467/((01_入力!$B$7+273.15)/100)+601.464888/((01_入力!$B$7+273.15)/100)^2-2018.286032/((01_入力!$B$7+273.15)/100)^3)))*(1-(($H$1)/(((01_入力!$B$5+$A$31)*1000))))^2)*(((01_入力!$B$5+$A$31)*1000))/(8.31446261815324*(01_入力!$B$7+273.15))+LN(1-((((01_入力!$B$5+$A$31)*1000))-($H$1))/($C$31)))),1)</f>
        <v>1.01778712406897</v>
      </c>
      <c r="E31" s="22" t="n">
        <f aca="false">100*03_湿度状態点!$F$36*$B$31/($D$31*$H$1)</f>
        <v>69.4355218675915</v>
      </c>
      <c r="F31" s="22" t="n">
        <f aca="false">$E$31-100*01_入力!$B$8</f>
        <v>-0.564478132408468</v>
      </c>
    </row>
    <row r="32" customFormat="false" ht="15" hidden="false" customHeight="false" outlineLevel="0" collapsed="false">
      <c r="A32" s="39" t="n">
        <v>20</v>
      </c>
      <c r="B32" s="19" t="n">
        <f aca="false">((01_入力!$B$5+$A$32)*1000)</f>
        <v>121325</v>
      </c>
      <c r="C32" s="28" t="n">
        <f aca="false">(22064000*EXP(647.096/(01_入力!$B$7+273.15)*(-7.85951783*(1-(01_入力!$B$7+273.15)/647.096)+1.84408259*(1-(01_入力!$B$7+273.15)/647.096)^1.5-11.7866497*(1-(01_入力!$B$7+273.15)/647.096)^3+22.6807411*(1-(01_入力!$B$7+273.15)/647.096)^3.5-15.9618719*(1-(01_入力!$B$7+273.15)/647.096)^4+1.80122502*(1-(01_入力!$B$7+273.15)/647.096)^7.5)))*EXP(-8.55445/((01_入力!$B$7+273.15)/647.096)+4.01195*(1-((01_入力!$B$7+273.15)/647.096))^0.355/((01_入力!$B$7+273.15)/647.096)+9.52345*((01_入力!$B$7+273.15)/647.096)^(-0.41)*EXP(1-((01_入力!$B$7+273.15)/647.096)))</f>
        <v>144888590.898551</v>
      </c>
      <c r="D32" s="21" t="n">
        <f aca="false">IF(01_入力!$B$39=1,EXP(((0.000001*(19202.081-20032490/(01_入力!$B$7+273.15)+7075968700/(01_入力!$B$7+273.15)^2-870743060000/(01_入力!$B$7+273.15)^3))*($H$1)/(8.31446261815324*(01_入力!$B$7+273.15))+(0.018015268/((999.83952+16.945176*((01_入力!$B$7+273.15)-273.15)-0.0079870401*((01_入力!$B$7+273.15)-273.15)^2-0.000046170461*((01_入力!$B$7+273.15)-273.15)^3+0.00000010556302*((01_入力!$B$7+273.15)-273.15)^4-0.00000000028054253*((01_入力!$B$7+273.15)-273.15)^5)/(1+0.01687985*((01_入力!$B$7+273.15)-273.15))))*((((01_入力!$B$5+$A$32)*1000))-($H$1))/(8.31446261815324*(01_入力!$B$7+273.15))-((0.000001*(19202.081-20032490/(01_入力!$B$7+273.15)+7075968700/(01_入力!$B$7+273.15)^2-870743060000/(01_入力!$B$7+273.15)^3))*(2*(($H$1)/(((01_入力!$B$5+$A$32)*1000)))-(($H$1)/(((01_入力!$B$5+$A$32)*1000)))^2)+(2*(((0.000001*(-236.26407+204871.53/(01_入力!$B$7+273.15)-59999434/(01_入力!$B$7+273.15)^2))+01_入力!$B$38/1000000))-(0.000001*(75.188632-565.620467/((01_入力!$B$7+273.15)/100)+601.464888/((01_入力!$B$7+273.15)/100)^2-2018.286032/((01_入力!$B$7+273.15)/100)^3)))*(1-(($H$1)/(((01_入力!$B$5+$A$32)*1000))))^2)*(((01_入力!$B$5+$A$32)*1000))/(8.31446261815324*(01_入力!$B$7+273.15))+LN(1-((((01_入力!$B$5+$A$32)*1000))-($H$1))/($C$32)))),1)</f>
        <v>1.01793114361243</v>
      </c>
      <c r="E32" s="22" t="n">
        <f aca="false">100*03_湿度状態点!$F$36*$B$32/($D$32*$H$1)</f>
        <v>70.0026827652211</v>
      </c>
      <c r="F32" s="22" t="n">
        <f aca="false">$E$32-100*01_入力!$B$8</f>
        <v>0.00268276522109545</v>
      </c>
    </row>
    <row r="33" customFormat="false" ht="15" hidden="false" customHeight="false" outlineLevel="0" collapsed="false">
      <c r="A33" s="39" t="n">
        <v>21</v>
      </c>
      <c r="B33" s="19" t="n">
        <f aca="false">((01_入力!$B$5+$A$33)*1000)</f>
        <v>122325</v>
      </c>
      <c r="C33" s="28" t="n">
        <f aca="false">(22064000*EXP(647.096/(01_入力!$B$7+273.15)*(-7.85951783*(1-(01_入力!$B$7+273.15)/647.096)+1.84408259*(1-(01_入力!$B$7+273.15)/647.096)^1.5-11.7866497*(1-(01_入力!$B$7+273.15)/647.096)^3+22.6807411*(1-(01_入力!$B$7+273.15)/647.096)^3.5-15.9618719*(1-(01_入力!$B$7+273.15)/647.096)^4+1.80122502*(1-(01_入力!$B$7+273.15)/647.096)^7.5)))*EXP(-8.55445/((01_入力!$B$7+273.15)/647.096)+4.01195*(1-((01_入力!$B$7+273.15)/647.096))^0.355/((01_入力!$B$7+273.15)/647.096)+9.52345*((01_入力!$B$7+273.15)/647.096)^(-0.41)*EXP(1-((01_入力!$B$7+273.15)/647.096)))</f>
        <v>144888590.898551</v>
      </c>
      <c r="D33" s="21" t="n">
        <f aca="false">IF(01_入力!$B$39=1,EXP(((0.000001*(19202.081-20032490/(01_入力!$B$7+273.15)+7075968700/(01_入力!$B$7+273.15)^2-870743060000/(01_入力!$B$7+273.15)^3))*($H$1)/(8.31446261815324*(01_入力!$B$7+273.15))+(0.018015268/((999.83952+16.945176*((01_入力!$B$7+273.15)-273.15)-0.0079870401*((01_入力!$B$7+273.15)-273.15)^2-0.000046170461*((01_入力!$B$7+273.15)-273.15)^3+0.00000010556302*((01_入力!$B$7+273.15)-273.15)^4-0.00000000028054253*((01_入力!$B$7+273.15)-273.15)^5)/(1+0.01687985*((01_入力!$B$7+273.15)-273.15))))*((((01_入力!$B$5+$A$33)*1000))-($H$1))/(8.31446261815324*(01_入力!$B$7+273.15))-((0.000001*(19202.081-20032490/(01_入力!$B$7+273.15)+7075968700/(01_入力!$B$7+273.15)^2-870743060000/(01_入力!$B$7+273.15)^3))*(2*(($H$1)/(((01_入力!$B$5+$A$33)*1000)))-(($H$1)/(((01_入力!$B$5+$A$33)*1000)))^2)+(2*(((0.000001*(-236.26407+204871.53/(01_入力!$B$7+273.15)-59999434/(01_入力!$B$7+273.15)^2))+01_入力!$B$38/1000000))-(0.000001*(75.188632-565.620467/((01_入力!$B$7+273.15)/100)+601.464888/((01_入力!$B$7+273.15)/100)^2-2018.286032/((01_入力!$B$7+273.15)/100)^3)))*(1-(($H$1)/(((01_入力!$B$5+$A$33)*1000))))^2)*(((01_入力!$B$5+$A$33)*1000))/(8.31446261815324*(01_入力!$B$7+273.15))+LN(1-((((01_入力!$B$5+$A$33)*1000))-($H$1))/($C$33)))),1)</f>
        <v>1.01807518088951</v>
      </c>
      <c r="E33" s="22" t="n">
        <f aca="false">100*03_湿度状態点!$F$36*$B$33/($D$33*$H$1)</f>
        <v>70.5696819695218</v>
      </c>
      <c r="F33" s="22" t="n">
        <f aca="false">$E$33-100*01_入力!$B$8</f>
        <v>0.569681969521753</v>
      </c>
    </row>
    <row r="34" customFormat="false" ht="15" hidden="false" customHeight="false" outlineLevel="0" collapsed="false">
      <c r="A34" s="39" t="n">
        <v>22</v>
      </c>
      <c r="B34" s="19" t="n">
        <f aca="false">((01_入力!$B$5+$A$34)*1000)</f>
        <v>123325</v>
      </c>
      <c r="C34" s="28" t="n">
        <f aca="false">(22064000*EXP(647.096/(01_入力!$B$7+273.15)*(-7.85951783*(1-(01_入力!$B$7+273.15)/647.096)+1.84408259*(1-(01_入力!$B$7+273.15)/647.096)^1.5-11.7866497*(1-(01_入力!$B$7+273.15)/647.096)^3+22.6807411*(1-(01_入力!$B$7+273.15)/647.096)^3.5-15.9618719*(1-(01_入力!$B$7+273.15)/647.096)^4+1.80122502*(1-(01_入力!$B$7+273.15)/647.096)^7.5)))*EXP(-8.55445/((01_入力!$B$7+273.15)/647.096)+4.01195*(1-((01_入力!$B$7+273.15)/647.096))^0.355/((01_入力!$B$7+273.15)/647.096)+9.52345*((01_入力!$B$7+273.15)/647.096)^(-0.41)*EXP(1-((01_入力!$B$7+273.15)/647.096)))</f>
        <v>144888590.898551</v>
      </c>
      <c r="D34" s="21" t="n">
        <f aca="false">IF(01_入力!$B$39=1,EXP(((0.000001*(19202.081-20032490/(01_入力!$B$7+273.15)+7075968700/(01_入力!$B$7+273.15)^2-870743060000/(01_入力!$B$7+273.15)^3))*($H$1)/(8.31446261815324*(01_入力!$B$7+273.15))+(0.018015268/((999.83952+16.945176*((01_入力!$B$7+273.15)-273.15)-0.0079870401*((01_入力!$B$7+273.15)-273.15)^2-0.000046170461*((01_入力!$B$7+273.15)-273.15)^3+0.00000010556302*((01_入力!$B$7+273.15)-273.15)^4-0.00000000028054253*((01_入力!$B$7+273.15)-273.15)^5)/(1+0.01687985*((01_入力!$B$7+273.15)-273.15))))*((((01_入力!$B$5+$A$34)*1000))-($H$1))/(8.31446261815324*(01_入力!$B$7+273.15))-((0.000001*(19202.081-20032490/(01_入力!$B$7+273.15)+7075968700/(01_入力!$B$7+273.15)^2-870743060000/(01_入力!$B$7+273.15)^3))*(2*(($H$1)/(((01_入力!$B$5+$A$34)*1000)))-(($H$1)/(((01_入力!$B$5+$A$34)*1000)))^2)+(2*(((0.000001*(-236.26407+204871.53/(01_入力!$B$7+273.15)-59999434/(01_入力!$B$7+273.15)^2))+01_入力!$B$38/1000000))-(0.000001*(75.188632-565.620467/((01_入力!$B$7+273.15)/100)+601.464888/((01_入力!$B$7+273.15)/100)^2-2018.286032/((01_入力!$B$7+273.15)/100)^3)))*(1-(($H$1)/(((01_入力!$B$5+$A$34)*1000))))^2)*(((01_入力!$B$5+$A$34)*1000))/(8.31446261815324*(01_入力!$B$7+273.15))+LN(1-((((01_入力!$B$5+$A$34)*1000))-($H$1))/($C$34)))),1)</f>
        <v>1.01821923596513</v>
      </c>
      <c r="E34" s="22" t="n">
        <f aca="false">100*03_湿度状態点!$F$36*$B$34/($D$34*$H$1)</f>
        <v>71.1365195149507</v>
      </c>
      <c r="F34" s="22" t="n">
        <f aca="false">$E$34-100*01_入力!$B$8</f>
        <v>1.13651951495069</v>
      </c>
    </row>
    <row r="35" customFormat="false" ht="15" hidden="false" customHeight="false" outlineLevel="0" collapsed="false">
      <c r="A35" s="39" t="n">
        <v>23</v>
      </c>
      <c r="B35" s="19" t="n">
        <f aca="false">((01_入力!$B$5+$A$35)*1000)</f>
        <v>124325</v>
      </c>
      <c r="C35" s="28" t="n">
        <f aca="false">(22064000*EXP(647.096/(01_入力!$B$7+273.15)*(-7.85951783*(1-(01_入力!$B$7+273.15)/647.096)+1.84408259*(1-(01_入力!$B$7+273.15)/647.096)^1.5-11.7866497*(1-(01_入力!$B$7+273.15)/647.096)^3+22.6807411*(1-(01_入力!$B$7+273.15)/647.096)^3.5-15.9618719*(1-(01_入力!$B$7+273.15)/647.096)^4+1.80122502*(1-(01_入力!$B$7+273.15)/647.096)^7.5)))*EXP(-8.55445/((01_入力!$B$7+273.15)/647.096)+4.01195*(1-((01_入力!$B$7+273.15)/647.096))^0.355/((01_入力!$B$7+273.15)/647.096)+9.52345*((01_入力!$B$7+273.15)/647.096)^(-0.41)*EXP(1-((01_入力!$B$7+273.15)/647.096)))</f>
        <v>144888590.898551</v>
      </c>
      <c r="D35" s="21" t="n">
        <f aca="false">IF(01_入力!$B$39=1,EXP(((0.000001*(19202.081-20032490/(01_入力!$B$7+273.15)+7075968700/(01_入力!$B$7+273.15)^2-870743060000/(01_入力!$B$7+273.15)^3))*($H$1)/(8.31446261815324*(01_入力!$B$7+273.15))+(0.018015268/((999.83952+16.945176*((01_入力!$B$7+273.15)-273.15)-0.0079870401*((01_入力!$B$7+273.15)-273.15)^2-0.000046170461*((01_入力!$B$7+273.15)-273.15)^3+0.00000010556302*((01_入力!$B$7+273.15)-273.15)^4-0.00000000028054253*((01_入力!$B$7+273.15)-273.15)^5)/(1+0.01687985*((01_入力!$B$7+273.15)-273.15))))*((((01_入力!$B$5+$A$35)*1000))-($H$1))/(8.31446261815324*(01_入力!$B$7+273.15))-((0.000001*(19202.081-20032490/(01_入力!$B$7+273.15)+7075968700/(01_入力!$B$7+273.15)^2-870743060000/(01_入力!$B$7+273.15)^3))*(2*(($H$1)/(((01_入力!$B$5+$A$35)*1000)))-(($H$1)/(((01_入力!$B$5+$A$35)*1000)))^2)+(2*(((0.000001*(-236.26407+204871.53/(01_入力!$B$7+273.15)-59999434/(01_入力!$B$7+273.15)^2))+01_入力!$B$38/1000000))-(0.000001*(75.188632-565.620467/((01_入力!$B$7+273.15)/100)+601.464888/((01_入力!$B$7+273.15)/100)^2-2018.286032/((01_入力!$B$7+273.15)/100)^3)))*(1-(($H$1)/(((01_入力!$B$5+$A$35)*1000))))^2)*(((01_入力!$B$5+$A$35)*1000))/(8.31446261815324*(01_入力!$B$7+273.15))+LN(1-((((01_入力!$B$5+$A$35)*1000))-($H$1))/($C$35)))),1)</f>
        <v>1.01836330890225</v>
      </c>
      <c r="E35" s="22" t="n">
        <f aca="false">100*03_湿度状態点!$F$36*$B$35/($D$35*$H$1)</f>
        <v>71.7031954359587</v>
      </c>
      <c r="F35" s="22" t="n">
        <f aca="false">$E$35-100*01_入力!$B$8</f>
        <v>1.70319543595868</v>
      </c>
    </row>
    <row r="36" customFormat="false" ht="15" hidden="false" customHeight="false" outlineLevel="0" collapsed="false">
      <c r="A36" s="39" t="n">
        <v>24</v>
      </c>
      <c r="B36" s="19" t="n">
        <f aca="false">((01_入力!$B$5+$A$36)*1000)</f>
        <v>125325</v>
      </c>
      <c r="C36" s="28" t="n">
        <f aca="false">(22064000*EXP(647.096/(01_入力!$B$7+273.15)*(-7.85951783*(1-(01_入力!$B$7+273.15)/647.096)+1.84408259*(1-(01_入力!$B$7+273.15)/647.096)^1.5-11.7866497*(1-(01_入力!$B$7+273.15)/647.096)^3+22.6807411*(1-(01_入力!$B$7+273.15)/647.096)^3.5-15.9618719*(1-(01_入力!$B$7+273.15)/647.096)^4+1.80122502*(1-(01_入力!$B$7+273.15)/647.096)^7.5)))*EXP(-8.55445/((01_入力!$B$7+273.15)/647.096)+4.01195*(1-((01_入力!$B$7+273.15)/647.096))^0.355/((01_入力!$B$7+273.15)/647.096)+9.52345*((01_入力!$B$7+273.15)/647.096)^(-0.41)*EXP(1-((01_入力!$B$7+273.15)/647.096)))</f>
        <v>144888590.898551</v>
      </c>
      <c r="D36" s="21" t="n">
        <f aca="false">IF(01_入力!$B$39=1,EXP(((0.000001*(19202.081-20032490/(01_入力!$B$7+273.15)+7075968700/(01_入力!$B$7+273.15)^2-870743060000/(01_入力!$B$7+273.15)^3))*($H$1)/(8.31446261815324*(01_入力!$B$7+273.15))+(0.018015268/((999.83952+16.945176*((01_入力!$B$7+273.15)-273.15)-0.0079870401*((01_入力!$B$7+273.15)-273.15)^2-0.000046170461*((01_入力!$B$7+273.15)-273.15)^3+0.00000010556302*((01_入力!$B$7+273.15)-273.15)^4-0.00000000028054253*((01_入力!$B$7+273.15)-273.15)^5)/(1+0.01687985*((01_入力!$B$7+273.15)-273.15))))*((((01_入力!$B$5+$A$36)*1000))-($H$1))/(8.31446261815324*(01_入力!$B$7+273.15))-((0.000001*(19202.081-20032490/(01_入力!$B$7+273.15)+7075968700/(01_入力!$B$7+273.15)^2-870743060000/(01_入力!$B$7+273.15)^3))*(2*(($H$1)/(((01_入力!$B$5+$A$36)*1000)))-(($H$1)/(((01_入力!$B$5+$A$36)*1000)))^2)+(2*(((0.000001*(-236.26407+204871.53/(01_入力!$B$7+273.15)-59999434/(01_入力!$B$7+273.15)^2))+01_入力!$B$38/1000000))-(0.000001*(75.188632-565.620467/((01_入力!$B$7+273.15)/100)+601.464888/((01_入力!$B$7+273.15)/100)^2-2018.286032/((01_入力!$B$7+273.15)/100)^3)))*(1-(($H$1)/(((01_入力!$B$5+$A$36)*1000))))^2)*(((01_入力!$B$5+$A$36)*1000))/(8.31446261815324*(01_入力!$B$7+273.15))+LN(1-((((01_入力!$B$5+$A$36)*1000))-($H$1))/($C$36)))),1)</f>
        <v>1.0185073997619</v>
      </c>
      <c r="E36" s="22" t="n">
        <f aca="false">100*03_湿度状態点!$F$36*$B$36/($D$36*$H$1)</f>
        <v>72.2697097669898</v>
      </c>
      <c r="F36" s="22" t="n">
        <f aca="false">$E$36-100*01_入力!$B$8</f>
        <v>2.26970976698976</v>
      </c>
    </row>
    <row r="37" customFormat="false" ht="15" hidden="false" customHeight="false" outlineLevel="0" collapsed="false">
      <c r="A37" s="3" t="s">
        <v>502</v>
      </c>
      <c r="E37" s="32" t="n">
        <f aca="false">($E$36-$E$28)/($A$36-$A$28)</f>
        <v>0.567080137116294</v>
      </c>
      <c r="F37" s="11" t="s">
        <v>503</v>
      </c>
      <c r="G37" s="2" t="s">
        <v>504</v>
      </c>
    </row>
    <row r="39" customFormat="false" ht="15" hidden="false" customHeight="false" outlineLevel="0" collapsed="false">
      <c r="A39" s="7" t="s">
        <v>505</v>
      </c>
      <c r="B39" s="8"/>
      <c r="C39" s="8"/>
      <c r="D39" s="8"/>
      <c r="E39" s="8"/>
      <c r="F39" s="8"/>
      <c r="G39" s="8"/>
    </row>
    <row r="40" customFormat="false" ht="15" hidden="false" customHeight="false" outlineLevel="0" collapsed="false">
      <c r="A40" s="17" t="s">
        <v>506</v>
      </c>
      <c r="B40" s="17" t="s">
        <v>125</v>
      </c>
      <c r="C40" s="17" t="s">
        <v>490</v>
      </c>
      <c r="D40" s="17" t="s">
        <v>507</v>
      </c>
      <c r="E40" s="17" t="s">
        <v>508</v>
      </c>
      <c r="F40" s="26" t="s">
        <v>509</v>
      </c>
      <c r="G40" s="26" t="s">
        <v>493</v>
      </c>
    </row>
    <row r="41" customFormat="false" ht="15" hidden="false" customHeight="false" outlineLevel="0" collapsed="false">
      <c r="A41" s="41" t="n">
        <f aca="false">03_湿度状態点!$C$8+-1</f>
        <v>29.655</v>
      </c>
      <c r="B41" s="22" t="n">
        <f aca="false">22064000*EXP(647.096/($A$41+273.15)*(-7.85951783*(1-($A$41+273.15)/647.096)+1.84408259*(1-($A$41+273.15)/647.096)^1.5-11.7866497*(1-($A$41+273.15)/647.096)^3+22.6807411*(1-($A$41+273.15)/647.096)^3.5-15.9618719*(1-($A$41+273.15)/647.096)^4+1.80122502*(1-($A$41+273.15)/647.096)^7.5))</f>
        <v>4163.52739197493</v>
      </c>
      <c r="C41" s="28" t="n">
        <f aca="false">($B$41)*EXP(-8.55445/(($A$41+273.15)/647.096)+4.01195*(1-(($A$41+273.15)/647.096))^0.355/(($A$41+273.15)/647.096)+9.52345*(($A$41+273.15)/647.096)^(-0.41)*EXP(1-(($A$41+273.15)/647.096)))</f>
        <v>186013823.507361</v>
      </c>
      <c r="D41" s="21" t="n">
        <f aca="false">IF(01_入力!$B$39=1,EXP(((0.000001*(19202.081-20032490/($A$41+273.15)+7075968700/($A$41+273.15)^2-870743060000/($A$41+273.15)^3))*($B$41)/(8.31446261815324*($A$41+273.15))+(0.018015268/((999.83952+16.945176*(($A$41+273.15)-273.15)-0.0079870401*(($A$41+273.15)-273.15)^2-0.000046170461*(($A$41+273.15)-273.15)^3+0.00000010556302*(($A$41+273.15)-273.15)^4-0.00000000028054253*(($A$41+273.15)-273.15)^5)/(1+0.01687985*(($A$41+273.15)-273.15))))*(((01_入力!$B$12*1000))-($B$41))/(8.31446261815324*($A$41+273.15))-((0.000001*(19202.081-20032490/($A$41+273.15)+7075968700/($A$41+273.15)^2-870743060000/($A$41+273.15)^3))*(2*(($B$41)/((01_入力!$B$12*1000)))-(($B$41)/((01_入力!$B$12*1000)))^2)+(2*(((0.000001*(-236.26407+204871.53/($A$41+273.15)-59999434/($A$41+273.15)^2))+01_入力!$B$38/1000000))-(0.000001*(75.188632-565.620467/(($A$41+273.15)/100)+601.464888/(($A$41+273.15)/100)^2-2018.286032/(($A$41+273.15)/100)^3)))*(1-(($B$41)/((01_入力!$B$12*1000))))^2)*((01_入力!$B$12*1000))/(8.31446261815324*($A$41+273.15))+LN(1-(((01_入力!$B$12*1000))-($B$41))/($C$41)))),1)</f>
        <v>1.03899257813621</v>
      </c>
      <c r="E41" s="29" t="n">
        <f aca="false">01_入力!$B$13*$D$41*$B$41/(01_入力!$B$12*1000)</f>
        <v>0.0129776221773863</v>
      </c>
      <c r="F41" s="22" t="n">
        <f aca="false">100*$E$41*(01_入力!$B$9*1000)/(03_湿度状態点!$F$33*$H$1)</f>
        <v>66.1219927177148</v>
      </c>
      <c r="G41" s="22" t="n">
        <f aca="false">$F$41-100*01_入力!$B$8</f>
        <v>-3.87800728228518</v>
      </c>
    </row>
    <row r="42" customFormat="false" ht="15" hidden="false" customHeight="false" outlineLevel="0" collapsed="false">
      <c r="A42" s="41" t="n">
        <f aca="false">03_湿度状態点!$C$8+-0.8</f>
        <v>29.855</v>
      </c>
      <c r="B42" s="22" t="n">
        <f aca="false">22064000*EXP(647.096/($A$42+273.15)*(-7.85951783*(1-($A$42+273.15)/647.096)+1.84408259*(1-($A$42+273.15)/647.096)^1.5-11.7866497*(1-($A$42+273.15)/647.096)^3+22.6807411*(1-($A$42+273.15)/647.096)^3.5-15.9618719*(1-($A$42+273.15)/647.096)^4+1.80122502*(1-($A$42+273.15)/647.096)^7.5))</f>
        <v>4211.69566225735</v>
      </c>
      <c r="C42" s="28" t="n">
        <f aca="false">($B$42)*EXP(-8.55445/(($A$42+273.15)/647.096)+4.01195*(1-(($A$42+273.15)/647.096))^0.355/(($A$42+273.15)/647.096)+9.52345*(($A$42+273.15)/647.096)^(-0.41)*EXP(1-(($A$42+273.15)/647.096)))</f>
        <v>186909453.757164</v>
      </c>
      <c r="D42" s="21" t="n">
        <f aca="false">IF(01_入力!$B$39=1,EXP(((0.000001*(19202.081-20032490/($A$42+273.15)+7075968700/($A$42+273.15)^2-870743060000/($A$42+273.15)^3))*($B$42)/(8.31446261815324*($A$42+273.15))+(0.018015268/((999.83952+16.945176*(($A$42+273.15)-273.15)-0.0079870401*(($A$42+273.15)-273.15)^2-0.000046170461*(($A$42+273.15)-273.15)^3+0.00000010556302*(($A$42+273.15)-273.15)^4-0.00000000028054253*(($A$42+273.15)-273.15)^5)/(1+0.01687985*(($A$42+273.15)-273.15))))*(((01_入力!$B$12*1000))-($B$42))/(8.31446261815324*($A$42+273.15))-((0.000001*(19202.081-20032490/($A$42+273.15)+7075968700/($A$42+273.15)^2-870743060000/($A$42+273.15)^3))*(2*(($B$42)/((01_入力!$B$12*1000)))-(($B$42)/((01_入力!$B$12*1000)))^2)+(2*(((0.000001*(-236.26407+204871.53/($A$42+273.15)-59999434/($A$42+273.15)^2))+01_入力!$B$38/1000000))-(0.000001*(75.188632-565.620467/(($A$42+273.15)/100)+601.464888/(($A$42+273.15)/100)^2-2018.286032/(($A$42+273.15)/100)^3)))*(1-(($B$42)/((01_入力!$B$12*1000))))^2)*((01_入力!$B$12*1000))/(8.31446261815324*($A$42+273.15))+LN(1-(((01_入力!$B$12*1000))-($B$42))/($C$42)))),1)</f>
        <v>1.03889796618781</v>
      </c>
      <c r="E42" s="29" t="n">
        <f aca="false">01_入力!$B$13*$D$42*$B$42/(01_入力!$B$12*1000)</f>
        <v>0.0131265661731635</v>
      </c>
      <c r="F42" s="22" t="n">
        <f aca="false">100*$E$42*(01_入力!$B$9*1000)/(03_湿度状態点!$F$33*$H$1)</f>
        <v>66.8808739418336</v>
      </c>
      <c r="G42" s="22" t="n">
        <f aca="false">$F$42-100*01_入力!$B$8</f>
        <v>-3.11912605816636</v>
      </c>
    </row>
    <row r="43" customFormat="false" ht="15" hidden="false" customHeight="false" outlineLevel="0" collapsed="false">
      <c r="A43" s="41" t="n">
        <f aca="false">03_湿度状態点!$C$8+-0.6</f>
        <v>30.055</v>
      </c>
      <c r="B43" s="22" t="n">
        <f aca="false">22064000*EXP(647.096/($A$43+273.15)*(-7.85951783*(1-($A$43+273.15)/647.096)+1.84408259*(1-($A$43+273.15)/647.096)^1.5-11.7866497*(1-($A$43+273.15)/647.096)^3+22.6807411*(1-($A$43+273.15)/647.096)^3.5-15.9618719*(1-($A$43+273.15)/647.096)^4+1.80122502*(1-($A$43+273.15)/647.096)^7.5))</f>
        <v>4260.34769210712</v>
      </c>
      <c r="C43" s="28" t="n">
        <f aca="false">($B$43)*EXP(-8.55445/(($A$43+273.15)/647.096)+4.01195*(1-(($A$43+273.15)/647.096))^0.355/(($A$43+273.15)/647.096)+9.52345*(($A$43+273.15)/647.096)^(-0.41)*EXP(1-(($A$43+273.15)/647.096)))</f>
        <v>187806676.108945</v>
      </c>
      <c r="D43" s="21" t="n">
        <f aca="false">IF(01_入力!$B$39=1,EXP(((0.000001*(19202.081-20032490/($A$43+273.15)+7075968700/($A$43+273.15)^2-870743060000/($A$43+273.15)^3))*($B$43)/(8.31446261815324*($A$43+273.15))+(0.018015268/((999.83952+16.945176*(($A$43+273.15)-273.15)-0.0079870401*(($A$43+273.15)-273.15)^2-0.000046170461*(($A$43+273.15)-273.15)^3+0.00000010556302*(($A$43+273.15)-273.15)^4-0.00000000028054253*(($A$43+273.15)-273.15)^5)/(1+0.01687985*(($A$43+273.15)-273.15))))*(((01_入力!$B$12*1000))-($B$43))/(8.31446261815324*($A$43+273.15))-((0.000001*(19202.081-20032490/($A$43+273.15)+7075968700/($A$43+273.15)^2-870743060000/($A$43+273.15)^3))*(2*(($B$43)/((01_入力!$B$12*1000)))-(($B$43)/((01_入力!$B$12*1000)))^2)+(2*(((0.000001*(-236.26407+204871.53/($A$43+273.15)-59999434/($A$43+273.15)^2))+01_入力!$B$38/1000000))-(0.000001*(75.188632-565.620467/(($A$43+273.15)/100)+601.464888/(($A$43+273.15)/100)^2-2018.286032/(($A$43+273.15)/100)^3)))*(1-(($B$43)/((01_入力!$B$12*1000))))^2)*((01_入力!$B$12*1000))/(8.31446261815324*($A$43+273.15))+LN(1-(((01_入力!$B$12*1000))-($B$43))/($C$43)))),1)</f>
        <v>1.03880368744584</v>
      </c>
      <c r="E43" s="29" t="n">
        <f aca="false">01_入力!$B$13*$D$43*$B$43/(01_入力!$B$12*1000)</f>
        <v>0.0132769946770868</v>
      </c>
      <c r="F43" s="22" t="n">
        <f aca="false">100*$E$43*(01_入力!$B$9*1000)/(03_湿度状態点!$F$33*$H$1)</f>
        <v>67.6473188502303</v>
      </c>
      <c r="G43" s="22" t="n">
        <f aca="false">$F$43-100*01_入力!$B$8</f>
        <v>-2.35268114976974</v>
      </c>
    </row>
    <row r="44" customFormat="false" ht="15" hidden="false" customHeight="false" outlineLevel="0" collapsed="false">
      <c r="A44" s="41" t="n">
        <f aca="false">03_湿度状態点!$C$8+-0.4</f>
        <v>30.255</v>
      </c>
      <c r="B44" s="22" t="n">
        <f aca="false">22064000*EXP(647.096/($A$44+273.15)*(-7.85951783*(1-($A$44+273.15)/647.096)+1.84408259*(1-($A$44+273.15)/647.096)^1.5-11.7866497*(1-($A$44+273.15)/647.096)^3+22.6807411*(1-($A$44+273.15)/647.096)^3.5-15.9618719*(1-($A$44+273.15)/647.096)^4+1.80122502*(1-($A$44+273.15)/647.096)^7.5))</f>
        <v>4309.48753672717</v>
      </c>
      <c r="C44" s="28" t="n">
        <f aca="false">($B$44)*EXP(-8.55445/(($A$44+273.15)/647.096)+4.01195*(1-(($A$44+273.15)/647.096))^0.355/(($A$44+273.15)/647.096)+9.52345*(($A$44+273.15)/647.096)^(-0.41)*EXP(1-(($A$44+273.15)/647.096)))</f>
        <v>188705478.987693</v>
      </c>
      <c r="D44" s="21" t="n">
        <f aca="false">IF(01_入力!$B$39=1,EXP(((0.000001*(19202.081-20032490/($A$44+273.15)+7075968700/($A$44+273.15)^2-870743060000/($A$44+273.15)^3))*($B$44)/(8.31446261815324*($A$44+273.15))+(0.018015268/((999.83952+16.945176*(($A$44+273.15)-273.15)-0.0079870401*(($A$44+273.15)-273.15)^2-0.000046170461*(($A$44+273.15)-273.15)^3+0.00000010556302*(($A$44+273.15)-273.15)^4-0.00000000028054253*(($A$44+273.15)-273.15)^5)/(1+0.01687985*(($A$44+273.15)-273.15))))*(((01_入力!$B$12*1000))-($B$44))/(8.31446261815324*($A$44+273.15))-((0.000001*(19202.081-20032490/($A$44+273.15)+7075968700/($A$44+273.15)^2-870743060000/($A$44+273.15)^3))*(2*(($B$44)/((01_入力!$B$12*1000)))-(($B$44)/((01_入力!$B$12*1000)))^2)+(2*(((0.000001*(-236.26407+204871.53/($A$44+273.15)-59999434/($A$44+273.15)^2))+01_入力!$B$38/1000000))-(0.000001*(75.188632-565.620467/(($A$44+273.15)/100)+601.464888/(($A$44+273.15)/100)^2-2018.286032/(($A$44+273.15)/100)^3)))*(1-(($B$44)/((01_入力!$B$12*1000))))^2)*((01_入力!$B$12*1000))/(8.31446261815324*($A$44+273.15))+LN(1-(((01_入力!$B$12*1000))-($B$44))/($C$44)))),1)</f>
        <v>1.0387097409238</v>
      </c>
      <c r="E44" s="29" t="n">
        <f aca="false">01_入力!$B$13*$D$44*$B$44/(01_入力!$B$12*1000)</f>
        <v>0.0134289200483646</v>
      </c>
      <c r="F44" s="22" t="n">
        <f aca="false">100*$E$44*(01_入力!$B$9*1000)/(03_湿度状態点!$F$33*$H$1)</f>
        <v>68.4213904140314</v>
      </c>
      <c r="G44" s="22" t="n">
        <f aca="false">$F$44-100*01_入力!$B$8</f>
        <v>-1.57860958596856</v>
      </c>
    </row>
    <row r="45" customFormat="false" ht="15" hidden="false" customHeight="false" outlineLevel="0" collapsed="false">
      <c r="A45" s="41" t="n">
        <f aca="false">03_湿度状態点!$C$8+-0.2</f>
        <v>30.455</v>
      </c>
      <c r="B45" s="22" t="n">
        <f aca="false">22064000*EXP(647.096/($A$45+273.15)*(-7.85951783*(1-($A$45+273.15)/647.096)+1.84408259*(1-($A$45+273.15)/647.096)^1.5-11.7866497*(1-($A$45+273.15)/647.096)^3+22.6807411*(1-($A$45+273.15)/647.096)^3.5-15.9618719*(1-($A$45+273.15)/647.096)^4+1.80122502*(1-($A$45+273.15)/647.096)^7.5))</f>
        <v>4359.11927770101</v>
      </c>
      <c r="C45" s="28" t="n">
        <f aca="false">($B$45)*EXP(-8.55445/(($A$45+273.15)/647.096)+4.01195*(1-(($A$45+273.15)/647.096))^0.355/(($A$45+273.15)/647.096)+9.52345*(($A$45+273.15)/647.096)^(-0.41)*EXP(1-(($A$45+273.15)/647.096)))</f>
        <v>189605850.7725</v>
      </c>
      <c r="D45" s="21" t="n">
        <f aca="false">IF(01_入力!$B$39=1,EXP(((0.000001*(19202.081-20032490/($A$45+273.15)+7075968700/($A$45+273.15)^2-870743060000/($A$45+273.15)^3))*($B$45)/(8.31446261815324*($A$45+273.15))+(0.018015268/((999.83952+16.945176*(($A$45+273.15)-273.15)-0.0079870401*(($A$45+273.15)-273.15)^2-0.000046170461*(($A$45+273.15)-273.15)^3+0.00000010556302*(($A$45+273.15)-273.15)^4-0.00000000028054253*(($A$45+273.15)-273.15)^5)/(1+0.01687985*(($A$45+273.15)-273.15))))*(((01_入力!$B$12*1000))-($B$45))/(8.31446261815324*($A$45+273.15))-((0.000001*(19202.081-20032490/($A$45+273.15)+7075968700/($A$45+273.15)^2-870743060000/($A$45+273.15)^3))*(2*(($B$45)/((01_入力!$B$12*1000)))-(($B$45)/((01_入力!$B$12*1000)))^2)+(2*(((0.000001*(-236.26407+204871.53/($A$45+273.15)-59999434/($A$45+273.15)^2))+01_入力!$B$38/1000000))-(0.000001*(75.188632-565.620467/(($A$45+273.15)/100)+601.464888/(($A$45+273.15)/100)^2-2018.286032/(($A$45+273.15)/100)^3)))*(1-(($B$45)/((01_入力!$B$12*1000))))^2)*((01_入力!$B$12*1000))/(8.31446261815324*($A$45+273.15))+LN(1-(((01_入力!$B$12*1000))-($B$45))/($C$45)))),1)</f>
        <v>1.03861612563374</v>
      </c>
      <c r="E45" s="29" t="n">
        <f aca="false">01_入力!$B$13*$D$45*$B$45/(01_入力!$B$12*1000)</f>
        <v>0.0135823547261435</v>
      </c>
      <c r="F45" s="22" t="n">
        <f aca="false">100*$E$45*(01_入力!$B$9*1000)/(03_湿度状態点!$F$33*$H$1)</f>
        <v>69.2031520116541</v>
      </c>
      <c r="G45" s="22" t="n">
        <f aca="false">$F$45-100*01_入力!$B$8</f>
        <v>-0.796847988345903</v>
      </c>
    </row>
    <row r="46" customFormat="false" ht="15" hidden="false" customHeight="false" outlineLevel="0" collapsed="false">
      <c r="A46" s="41" t="n">
        <f aca="false">03_湿度状態点!$C$8+0</f>
        <v>30.655</v>
      </c>
      <c r="B46" s="22" t="n">
        <f aca="false">22064000*EXP(647.096/($A$46+273.15)*(-7.85951783*(1-($A$46+273.15)/647.096)+1.84408259*(1-($A$46+273.15)/647.096)^1.5-11.7866497*(1-($A$46+273.15)/647.096)^3+22.6807411*(1-($A$46+273.15)/647.096)^3.5-15.9618719*(1-($A$46+273.15)/647.096)^4+1.80122502*(1-($A$46+273.15)/647.096)^7.5))</f>
        <v>4409.24702310375</v>
      </c>
      <c r="C46" s="28" t="n">
        <f aca="false">($B$46)*EXP(-8.55445/(($A$46+273.15)/647.096)+4.01195*(1-(($A$46+273.15)/647.096))^0.355/(($A$46+273.15)/647.096)+9.52345*(($A$46+273.15)/647.096)^(-0.41)*EXP(1-(($A$46+273.15)/647.096)))</f>
        <v>190507779.797039</v>
      </c>
      <c r="D46" s="21" t="n">
        <f aca="false">IF(01_入力!$B$39=1,EXP(((0.000001*(19202.081-20032490/($A$46+273.15)+7075968700/($A$46+273.15)^2-870743060000/($A$46+273.15)^3))*($B$46)/(8.31446261815324*($A$46+273.15))+(0.018015268/((999.83952+16.945176*(($A$46+273.15)-273.15)-0.0079870401*(($A$46+273.15)-273.15)^2-0.000046170461*(($A$46+273.15)-273.15)^3+0.00000010556302*(($A$46+273.15)-273.15)^4-0.00000000028054253*(($A$46+273.15)-273.15)^5)/(1+0.01687985*(($A$46+273.15)-273.15))))*(((01_入力!$B$12*1000))-($B$46))/(8.31446261815324*($A$46+273.15))-((0.000001*(19202.081-20032490/($A$46+273.15)+7075968700/($A$46+273.15)^2-870743060000/($A$46+273.15)^3))*(2*(($B$46)/((01_入力!$B$12*1000)))-(($B$46)/((01_入力!$B$12*1000)))^2)+(2*(((0.000001*(-236.26407+204871.53/($A$46+273.15)-59999434/($A$46+273.15)^2))+01_入力!$B$38/1000000))-(0.000001*(75.188632-565.620467/(($A$46+273.15)/100)+601.464888/(($A$46+273.15)/100)^2-2018.286032/(($A$46+273.15)/100)^3)))*(1-(($B$46)/((01_入力!$B$12*1000))))^2)*((01_入力!$B$12*1000))/(8.31446261815324*($A$46+273.15))+LN(1-(((01_入力!$B$12*1000))-($B$46))/($C$46)))),1)</f>
        <v>1.03852284058633</v>
      </c>
      <c r="E46" s="29" t="n">
        <f aca="false">01_入力!$B$13*$D$46*$B$46/(01_入力!$B$12*1000)</f>
        <v>0.0137373112298416</v>
      </c>
      <c r="F46" s="22" t="n">
        <f aca="false">100*$E$46*(01_入力!$B$9*1000)/(03_湿度状態点!$F$33*$H$1)</f>
        <v>69.9926674305069</v>
      </c>
      <c r="G46" s="22" t="n">
        <f aca="false">$F$46-100*01_入力!$B$8</f>
        <v>-0.00733256949314409</v>
      </c>
    </row>
    <row r="47" customFormat="false" ht="15" hidden="false" customHeight="false" outlineLevel="0" collapsed="false">
      <c r="A47" s="41" t="n">
        <f aca="false">03_湿度状態点!$C$8+0.2</f>
        <v>30.855</v>
      </c>
      <c r="B47" s="22" t="n">
        <f aca="false">22064000*EXP(647.096/($A$47+273.15)*(-7.85951783*(1-($A$47+273.15)/647.096)+1.84408259*(1-($A$47+273.15)/647.096)^1.5-11.7866497*(1-($A$47+273.15)/647.096)^3+22.6807411*(1-($A$47+273.15)/647.096)^3.5-15.9618719*(1-($A$47+273.15)/647.096)^4+1.80122502*(1-($A$47+273.15)/647.096)^7.5))</f>
        <v>4459.87490761305</v>
      </c>
      <c r="C47" s="28" t="n">
        <f aca="false">($B$47)*EXP(-8.55445/(($A$47+273.15)/647.096)+4.01195*(1-(($A$47+273.15)/647.096))^0.355/(($A$47+273.15)/647.096)+9.52345*(($A$47+273.15)/647.096)^(-0.41)*EXP(1-(($A$47+273.15)/647.096)))</f>
        <v>191411254.350056</v>
      </c>
      <c r="D47" s="21" t="n">
        <f aca="false">IF(01_入力!$B$39=1,EXP(((0.000001*(19202.081-20032490/($A$47+273.15)+7075968700/($A$47+273.15)^2-870743060000/($A$47+273.15)^3))*($B$47)/(8.31446261815324*($A$47+273.15))+(0.018015268/((999.83952+16.945176*(($A$47+273.15)-273.15)-0.0079870401*(($A$47+273.15)-273.15)^2-0.000046170461*(($A$47+273.15)-273.15)^3+0.00000010556302*(($A$47+273.15)-273.15)^4-0.00000000028054253*(($A$47+273.15)-273.15)^5)/(1+0.01687985*(($A$47+273.15)-273.15))))*(((01_入力!$B$12*1000))-($B$47))/(8.31446261815324*($A$47+273.15))-((0.000001*(19202.081-20032490/($A$47+273.15)+7075968700/($A$47+273.15)^2-870743060000/($A$47+273.15)^3))*(2*(($B$47)/((01_入力!$B$12*1000)))-(($B$47)/((01_入力!$B$12*1000)))^2)+(2*(((0.000001*(-236.26407+204871.53/($A$47+273.15)-59999434/($A$47+273.15)^2))+01_入力!$B$38/1000000))-(0.000001*(75.188632-565.620467/(($A$47+273.15)/100)+601.464888/(($A$47+273.15)/100)^2-2018.286032/(($A$47+273.15)/100)^3)))*(1-(($B$47)/((01_入力!$B$12*1000))))^2)*((01_入力!$B$12*1000))/(8.31446261815324*($A$47+273.15))+LN(1-(((01_入力!$B$12*1000))-($B$47))/($C$47)))),1)</f>
        <v>1.0384298847909</v>
      </c>
      <c r="E47" s="29" t="n">
        <f aca="false">01_入力!$B$13*$D$47*$B$47/(01_入力!$B$12*1000)</f>
        <v>0.0138938021594834</v>
      </c>
      <c r="F47" s="22" t="n">
        <f aca="false">100*$E$47*(01_入力!$B$9*1000)/(03_湿度状態点!$F$33*$H$1)</f>
        <v>70.7900008686918</v>
      </c>
      <c r="G47" s="22" t="n">
        <f aca="false">$F$47-100*01_入力!$B$8</f>
        <v>0.790000868691749</v>
      </c>
    </row>
    <row r="48" customFormat="false" ht="15" hidden="false" customHeight="false" outlineLevel="0" collapsed="false">
      <c r="A48" s="41" t="n">
        <f aca="false">03_湿度状態点!$C$8+0.4</f>
        <v>31.055</v>
      </c>
      <c r="B48" s="22" t="n">
        <f aca="false">22064000*EXP(647.096/($A$48+273.15)*(-7.85951783*(1-($A$48+273.15)/647.096)+1.84408259*(1-($A$48+273.15)/647.096)^1.5-11.7866497*(1-($A$48+273.15)/647.096)^3+22.6807411*(1-($A$48+273.15)/647.096)^3.5-15.9618719*(1-($A$48+273.15)/647.096)^4+1.80122502*(1-($A$48+273.15)/647.096)^7.5))</f>
        <v>4511.00709262047</v>
      </c>
      <c r="C48" s="28" t="n">
        <f aca="false">($B$48)*EXP(-8.55445/(($A$48+273.15)/647.096)+4.01195*(1-(($A$48+273.15)/647.096))^0.355/(($A$48+273.15)/647.096)+9.52345*(($A$48+273.15)/647.096)^(-0.41)*EXP(1-(($A$48+273.15)/647.096)))</f>
        <v>192316262.675868</v>
      </c>
      <c r="D48" s="21" t="n">
        <f aca="false">IF(01_入力!$B$39=1,EXP(((0.000001*(19202.081-20032490/($A$48+273.15)+7075968700/($A$48+273.15)^2-870743060000/($A$48+273.15)^3))*($B$48)/(8.31446261815324*($A$48+273.15))+(0.018015268/((999.83952+16.945176*(($A$48+273.15)-273.15)-0.0079870401*(($A$48+273.15)-273.15)^2-0.000046170461*(($A$48+273.15)-273.15)^3+0.00000010556302*(($A$48+273.15)-273.15)^4-0.00000000028054253*(($A$48+273.15)-273.15)^5)/(1+0.01687985*(($A$48+273.15)-273.15))))*(((01_入力!$B$12*1000))-($B$48))/(8.31446261815324*($A$48+273.15))-((0.000001*(19202.081-20032490/($A$48+273.15)+7075968700/($A$48+273.15)^2-870743060000/($A$48+273.15)^3))*(2*(($B$48)/((01_入力!$B$12*1000)))-(($B$48)/((01_入力!$B$12*1000)))^2)+(2*(((0.000001*(-236.26407+204871.53/($A$48+273.15)-59999434/($A$48+273.15)^2))+01_入力!$B$38/1000000))-(0.000001*(75.188632-565.620467/(($A$48+273.15)/100)+601.464888/(($A$48+273.15)/100)^2-2018.286032/(($A$48+273.15)/100)^3)))*(1-(($B$48)/((01_入力!$B$12*1000))))^2)*((01_入力!$B$12*1000))/(8.31446261815324*($A$48+273.15))+LN(1-(((01_入力!$B$12*1000))-($B$48))/($C$48)))),1)</f>
        <v>1.0383372572554</v>
      </c>
      <c r="E48" s="29" t="n">
        <f aca="false">01_入力!$B$13*$D$48*$B$48/(01_入力!$B$12*1000)</f>
        <v>0.0140518401960336</v>
      </c>
      <c r="F48" s="22" t="n">
        <f aca="false">100*$E$48*(01_入力!$B$9*1000)/(03_湿度状態点!$F$33*$H$1)</f>
        <v>71.5952169367096</v>
      </c>
      <c r="G48" s="22" t="n">
        <f aca="false">$F$48-100*01_入力!$B$8</f>
        <v>1.59521693670963</v>
      </c>
    </row>
    <row r="49" customFormat="false" ht="15" hidden="false" customHeight="false" outlineLevel="0" collapsed="false">
      <c r="A49" s="41" t="n">
        <f aca="false">03_湿度状態点!$C$8+0.6</f>
        <v>31.255</v>
      </c>
      <c r="B49" s="22" t="n">
        <f aca="false">22064000*EXP(647.096/($A$49+273.15)*(-7.85951783*(1-($A$49+273.15)/647.096)+1.84408259*(1-($A$49+273.15)/647.096)^1.5-11.7866497*(1-($A$49+273.15)/647.096)^3+22.6807411*(1-($A$49+273.15)/647.096)^3.5-15.9618719*(1-($A$49+273.15)/647.096)^4+1.80122502*(1-($A$49+273.15)/647.096)^7.5))</f>
        <v>4562.64776634253</v>
      </c>
      <c r="C49" s="28" t="n">
        <f aca="false">($B$49)*EXP(-8.55445/(($A$49+273.15)/647.096)+4.01195*(1-(($A$49+273.15)/647.096))^0.355/(($A$49+273.15)/647.096)+9.52345*(($A$49+273.15)/647.096)^(-0.41)*EXP(1-(($A$49+273.15)/647.096)))</f>
        <v>193222792.974844</v>
      </c>
      <c r="D49" s="21" t="n">
        <f aca="false">IF(01_入力!$B$39=1,EXP(((0.000001*(19202.081-20032490/($A$49+273.15)+7075968700/($A$49+273.15)^2-870743060000/($A$49+273.15)^3))*($B$49)/(8.31446261815324*($A$49+273.15))+(0.018015268/((999.83952+16.945176*(($A$49+273.15)-273.15)-0.0079870401*(($A$49+273.15)-273.15)^2-0.000046170461*(($A$49+273.15)-273.15)^3+0.00000010556302*(($A$49+273.15)-273.15)^4-0.00000000028054253*(($A$49+273.15)-273.15)^5)/(1+0.01687985*(($A$49+273.15)-273.15))))*(((01_入力!$B$12*1000))-($B$49))/(8.31446261815324*($A$49+273.15))-((0.000001*(19202.081-20032490/($A$49+273.15)+7075968700/($A$49+273.15)^2-870743060000/($A$49+273.15)^3))*(2*(($B$49)/((01_入力!$B$12*1000)))-(($B$49)/((01_入力!$B$12*1000)))^2)+(2*(((0.000001*(-236.26407+204871.53/($A$49+273.15)-59999434/($A$49+273.15)^2))+01_入力!$B$38/1000000))-(0.000001*(75.188632-565.620467/(($A$49+273.15)/100)+601.464888/(($A$49+273.15)/100)^2-2018.286032/(($A$49+273.15)/100)^3)))*(1-(($B$49)/((01_入力!$B$12*1000))))^2)*((01_入力!$B$12*1000))/(8.31446261815324*($A$49+273.15))+LN(1-(((01_入力!$B$12*1000))-($B$49))/($C$49)))),1)</f>
        <v>1.03824495698646</v>
      </c>
      <c r="E49" s="29" t="n">
        <f aca="false">01_入力!$B$13*$D$49*$B$49/(01_入力!$B$12*1000)</f>
        <v>0.014211438101732</v>
      </c>
      <c r="F49" s="22" t="n">
        <f aca="false">100*$E$49*(01_入力!$B$9*1000)/(03_湿度状態点!$F$33*$H$1)</f>
        <v>72.4083806591628</v>
      </c>
      <c r="G49" s="22" t="n">
        <f aca="false">$F$49-100*01_入力!$B$8</f>
        <v>2.40838065916277</v>
      </c>
    </row>
    <row r="50" customFormat="false" ht="15" hidden="false" customHeight="false" outlineLevel="0" collapsed="false">
      <c r="A50" s="41" t="n">
        <f aca="false">03_湿度状態点!$C$8+0.8</f>
        <v>31.455</v>
      </c>
      <c r="B50" s="22" t="n">
        <f aca="false">22064000*EXP(647.096/($A$50+273.15)*(-7.85951783*(1-($A$50+273.15)/647.096)+1.84408259*(1-($A$50+273.15)/647.096)^1.5-11.7866497*(1-($A$50+273.15)/647.096)^3+22.6807411*(1-($A$50+273.15)/647.096)^3.5-15.9618719*(1-($A$50+273.15)/647.096)^4+1.80122502*(1-($A$50+273.15)/647.096)^7.5))</f>
        <v>4614.80114393209</v>
      </c>
      <c r="C50" s="28" t="n">
        <f aca="false">($B$50)*EXP(-8.55445/(($A$50+273.15)/647.096)+4.01195*(1-(($A$50+273.15)/647.096))^0.355/(($A$50+273.15)/647.096)+9.52345*(($A$50+273.15)/647.096)^(-0.41)*EXP(1-(($A$50+273.15)/647.096)))</f>
        <v>194130833.403904</v>
      </c>
      <c r="D50" s="21" t="n">
        <f aca="false">IF(01_入力!$B$39=1,EXP(((0.000001*(19202.081-20032490/($A$50+273.15)+7075968700/($A$50+273.15)^2-870743060000/($A$50+273.15)^3))*($B$50)/(8.31446261815324*($A$50+273.15))+(0.018015268/((999.83952+16.945176*(($A$50+273.15)-273.15)-0.0079870401*(($A$50+273.15)-273.15)^2-0.000046170461*(($A$50+273.15)-273.15)^3+0.00000010556302*(($A$50+273.15)-273.15)^4-0.00000000028054253*(($A$50+273.15)-273.15)^5)/(1+0.01687985*(($A$50+273.15)-273.15))))*(((01_入力!$B$12*1000))-($B$50))/(8.31446261815324*($A$50+273.15))-((0.000001*(19202.081-20032490/($A$50+273.15)+7075968700/($A$50+273.15)^2-870743060000/($A$50+273.15)^3))*(2*(($B$50)/((01_入力!$B$12*1000)))-(($B$50)/((01_入力!$B$12*1000)))^2)+(2*(((0.000001*(-236.26407+204871.53/($A$50+273.15)-59999434/($A$50+273.15)^2))+01_入力!$B$38/1000000))-(0.000001*(75.188632-565.620467/(($A$50+273.15)/100)+601.464888/(($A$50+273.15)/100)^2-2018.286032/(($A$50+273.15)/100)^3)))*(1-(($B$50)/((01_入力!$B$12*1000))))^2)*((01_入力!$B$12*1000))/(8.31446261815324*($A$50+273.15))+LN(1-(((01_入力!$B$12*1000))-($B$50))/($C$50)))),1)</f>
        <v>1.03815298298941</v>
      </c>
      <c r="E50" s="29" t="n">
        <f aca="false">01_入力!$B$13*$D$50*$B$50/(01_入力!$B$12*1000)</f>
        <v>0.0143726087204281</v>
      </c>
      <c r="F50" s="22" t="n">
        <f aca="false">100*$E$50*(01_入力!$B$9*1000)/(03_湿度状態点!$F$33*$H$1)</f>
        <v>73.2295574764614</v>
      </c>
      <c r="G50" s="22" t="n">
        <f aca="false">$F$50-100*01_入力!$B$8</f>
        <v>3.22955747646137</v>
      </c>
    </row>
    <row r="51" customFormat="false" ht="15" hidden="false" customHeight="false" outlineLevel="0" collapsed="false">
      <c r="A51" s="41" t="n">
        <f aca="false">03_湿度状態点!$C$8+1</f>
        <v>31.655</v>
      </c>
      <c r="B51" s="22" t="n">
        <f aca="false">22064000*EXP(647.096/($A$51+273.15)*(-7.85951783*(1-($A$51+273.15)/647.096)+1.84408259*(1-($A$51+273.15)/647.096)^1.5-11.7866497*(1-($A$51+273.15)/647.096)^3+22.6807411*(1-($A$51+273.15)/647.096)^3.5-15.9618719*(1-($A$51+273.15)/647.096)^4+1.80122502*(1-($A$51+273.15)/647.096)^7.5))</f>
        <v>4667.47146758967</v>
      </c>
      <c r="C51" s="28" t="n">
        <f aca="false">($B$51)*EXP(-8.55445/(($A$51+273.15)/647.096)+4.01195*(1-(($A$51+273.15)/647.096))^0.355/(($A$51+273.15)/647.096)+9.52345*(($A$51+273.15)/647.096)^(-0.41)*EXP(1-(($A$51+273.15)/647.096)))</f>
        <v>195040372.077011</v>
      </c>
      <c r="D51" s="21" t="n">
        <f aca="false">IF(01_入力!$B$39=1,EXP(((0.000001*(19202.081-20032490/($A$51+273.15)+7075968700/($A$51+273.15)^2-870743060000/($A$51+273.15)^3))*($B$51)/(8.31446261815324*($A$51+273.15))+(0.018015268/((999.83952+16.945176*(($A$51+273.15)-273.15)-0.0079870401*(($A$51+273.15)-273.15)^2-0.000046170461*(($A$51+273.15)-273.15)^3+0.00000010556302*(($A$51+273.15)-273.15)^4-0.00000000028054253*(($A$51+273.15)-273.15)^5)/(1+0.01687985*(($A$51+273.15)-273.15))))*(((01_入力!$B$12*1000))-($B$51))/(8.31446261815324*($A$51+273.15))-((0.000001*(19202.081-20032490/($A$51+273.15)+7075968700/($A$51+273.15)^2-870743060000/($A$51+273.15)^3))*(2*(($B$51)/((01_入力!$B$12*1000)))-(($B$51)/((01_入力!$B$12*1000)))^2)+(2*(((0.000001*(-236.26407+204871.53/($A$51+273.15)-59999434/($A$51+273.15)^2))+01_入力!$B$38/1000000))-(0.000001*(75.188632-565.620467/(($A$51+273.15)/100)+601.464888/(($A$51+273.15)/100)^2-2018.286032/(($A$51+273.15)/100)^3)))*(1-(($B$51)/((01_入力!$B$12*1000))))^2)*((01_入力!$B$12*1000))/(8.31446261815324*($A$51+273.15))+LN(1-(((01_入力!$B$12*1000))-($B$51))/($C$51)))),1)</f>
        <v>1.03806133426826</v>
      </c>
      <c r="E51" s="29" t="n">
        <f aca="false">01_入力!$B$13*$D$51*$B$51/(01_入力!$B$12*1000)</f>
        <v>0.0145353649779155</v>
      </c>
      <c r="F51" s="22" t="n">
        <f aca="false">100*$E$51*(01_入力!$B$9*1000)/(03_湿度状態点!$F$33*$H$1)</f>
        <v>74.0588132465281</v>
      </c>
      <c r="G51" s="22" t="n">
        <f aca="false">$F$51-100*01_入力!$B$8</f>
        <v>4.05881324652809</v>
      </c>
    </row>
    <row r="52" customFormat="false" ht="15" hidden="false" customHeight="false" outlineLevel="0" collapsed="false">
      <c r="A52" s="3" t="s">
        <v>510</v>
      </c>
      <c r="F52" s="32" t="n">
        <f aca="false">($F$51-$F$41)/($A$51-$A$41)</f>
        <v>3.96841026440664</v>
      </c>
      <c r="G52" s="11" t="s">
        <v>496</v>
      </c>
      <c r="H52" s="6" t="s">
        <v>511</v>
      </c>
    </row>
    <row r="54" customFormat="false" ht="15" hidden="false" customHeight="false" outlineLevel="0" collapsed="false">
      <c r="A54" s="7" t="s">
        <v>512</v>
      </c>
      <c r="B54" s="8"/>
      <c r="C54" s="8"/>
      <c r="D54" s="8"/>
      <c r="E54" s="8"/>
      <c r="F54" s="8"/>
      <c r="G54" s="8"/>
    </row>
    <row r="55" customFormat="false" ht="15" hidden="false" customHeight="false" outlineLevel="0" collapsed="false">
      <c r="A55" s="6" t="s">
        <v>513</v>
      </c>
    </row>
    <row r="56" customFormat="false" ht="41" hidden="false" customHeight="false" outlineLevel="0" collapsed="false">
      <c r="A56" s="17" t="s">
        <v>514</v>
      </c>
      <c r="B56" s="26" t="s">
        <v>515</v>
      </c>
      <c r="C56" s="26" t="s">
        <v>516</v>
      </c>
      <c r="D56" s="17" t="s">
        <v>517</v>
      </c>
      <c r="E56" s="17" t="s">
        <v>517</v>
      </c>
      <c r="F56" s="17" t="s">
        <v>517</v>
      </c>
    </row>
    <row r="57" customFormat="false" ht="15" hidden="false" customHeight="false" outlineLevel="0" collapsed="false">
      <c r="A57" s="39" t="n">
        <v>0.1</v>
      </c>
      <c r="B57" s="22" t="n">
        <f aca="false">$A$57</f>
        <v>0.1</v>
      </c>
      <c r="C57" s="22" t="n">
        <f aca="false">$A$57/100*01_入力!$B$12</f>
        <v>0.3</v>
      </c>
    </row>
    <row r="58" customFormat="false" ht="15" hidden="false" customHeight="false" outlineLevel="0" collapsed="false">
      <c r="A58" s="39" t="n">
        <v>0.2</v>
      </c>
      <c r="B58" s="22" t="n">
        <f aca="false">$A$58</f>
        <v>0.2</v>
      </c>
      <c r="C58" s="22" t="n">
        <f aca="false">$A$58/100*01_入力!$B$12</f>
        <v>0.6</v>
      </c>
    </row>
    <row r="59" customFormat="false" ht="15" hidden="false" customHeight="false" outlineLevel="0" collapsed="false">
      <c r="A59" s="39" t="n">
        <v>0.5</v>
      </c>
      <c r="B59" s="22" t="n">
        <f aca="false">$A$59</f>
        <v>0.5</v>
      </c>
      <c r="C59" s="22" t="n">
        <f aca="false">$A$59/100*01_入力!$B$12</f>
        <v>1.5</v>
      </c>
    </row>
    <row r="60" customFormat="false" ht="15" hidden="false" customHeight="false" outlineLevel="0" collapsed="false">
      <c r="A60" s="39" t="n">
        <v>1</v>
      </c>
      <c r="B60" s="22" t="n">
        <f aca="false">$A$60</f>
        <v>1</v>
      </c>
      <c r="C60" s="22" t="n">
        <f aca="false">$A$60/100*01_入力!$B$12</f>
        <v>3</v>
      </c>
    </row>
    <row r="61" customFormat="false" ht="15" hidden="false" customHeight="false" outlineLevel="0" collapsed="false">
      <c r="A61" s="39" t="n">
        <v>2</v>
      </c>
      <c r="B61" s="22" t="n">
        <f aca="false">$A$61</f>
        <v>2</v>
      </c>
      <c r="C61" s="22" t="n">
        <f aca="false">$A$61/100*01_入力!$B$12</f>
        <v>6</v>
      </c>
    </row>
    <row r="62" customFormat="false" ht="15" hidden="false" customHeight="false" outlineLevel="0" collapsed="false">
      <c r="A62" s="9" t="s">
        <v>518</v>
      </c>
      <c r="B62" s="32" t="n">
        <f aca="false">04_流量切替!$B$14*(1-04_流量切替!$B$14)*04_流量切替!$B$8*04_流量切替!$B$12*01_入力!$B$32*8.31446261815324*03_湿度状態点!$D$9/(01_入力!$B$26/1000)/1000</f>
        <v>1.10234338653213</v>
      </c>
      <c r="C62" s="11" t="s">
        <v>42</v>
      </c>
    </row>
    <row r="63" customFormat="false" ht="15" hidden="false" customHeight="false" outlineLevel="0" collapsed="false">
      <c r="A63" s="9" t="s">
        <v>519</v>
      </c>
      <c r="B63" s="32" t="n">
        <f aca="false">$B$62/01_入力!$B$12*100</f>
        <v>0.367447795510708</v>
      </c>
      <c r="C63" s="11" t="s">
        <v>349</v>
      </c>
      <c r="D63" s="6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66"/>
  </cols>
  <sheetData>
    <row r="1" customFormat="false" ht="19.4" hidden="false" customHeight="false" outlineLevel="0" collapsed="false">
      <c r="A1" s="1" t="s">
        <v>521</v>
      </c>
    </row>
    <row r="2" customFormat="false" ht="15" hidden="false" customHeight="false" outlineLevel="0" collapsed="false">
      <c r="A2" s="6" t="s">
        <v>522</v>
      </c>
    </row>
    <row r="4" customFormat="false" ht="15" hidden="false" customHeight="false" outlineLevel="0" collapsed="false">
      <c r="A4" s="26" t="s">
        <v>162</v>
      </c>
      <c r="B4" s="26" t="s">
        <v>523</v>
      </c>
      <c r="C4" s="26" t="s">
        <v>524</v>
      </c>
      <c r="D4" s="26" t="s">
        <v>525</v>
      </c>
      <c r="E4" s="26" t="s">
        <v>433</v>
      </c>
      <c r="F4" s="26" t="s">
        <v>526</v>
      </c>
    </row>
    <row r="5" customFormat="false" ht="15" hidden="false" customHeight="false" outlineLevel="0" collapsed="false">
      <c r="A5" s="11" t="s">
        <v>527</v>
      </c>
      <c r="B5" s="21" t="n">
        <f aca="false">22064000*EXP(647.096/283.15*(-7.85951783*(1-283.15/647.096)+1.84408259*(1-283.15/647.096)^1.5-11.7866497*(1-283.15/647.096)^3+22.6807411*(1-283.15/647.096)^3.5-15.9618719*(1-283.15/647.096)^4+1.80122502*(1-283.15/647.096)^7.5))</f>
        <v>1228.11215089361</v>
      </c>
      <c r="C5" s="42" t="n">
        <v>1228.1989</v>
      </c>
      <c r="D5" s="22" t="n">
        <f aca="false">IF($C$5=0,ABS($B$5),100*($B$5/$C$5-1))</f>
        <v>-0.00706311546037064</v>
      </c>
      <c r="E5" s="43" t="str">
        <f aca="false">IF(ABS($D$5)&lt;=0.01,"合格","要確認")</f>
        <v>合格</v>
      </c>
      <c r="F5" s="2" t="s">
        <v>528</v>
      </c>
    </row>
    <row r="6" customFormat="false" ht="15" hidden="false" customHeight="false" outlineLevel="0" collapsed="false">
      <c r="A6" s="11" t="s">
        <v>529</v>
      </c>
      <c r="B6" s="21" t="n">
        <f aca="false">22064000*EXP(647.096/287.15*(-7.85951783*(1-287.15/647.096)+1.84408259*(1-287.15/647.096)^1.5-11.7866497*(1-287.15/647.096)^3+22.6807411*(1-287.15/647.096)^3.5-15.9618719*(1-287.15/647.096)^4+1.80122502*(1-287.15/647.096)^7.5))</f>
        <v>1598.87232698311</v>
      </c>
      <c r="C6" s="42" t="n">
        <v>1598.9838</v>
      </c>
      <c r="D6" s="22" t="n">
        <f aca="false">IF($C$6=0,ABS($B$6),100*($B$6/$C$6-1))</f>
        <v>-0.00697149132399266</v>
      </c>
      <c r="E6" s="43" t="str">
        <f aca="false">IF(ABS($D$6)&lt;=0.01,"合格","要確認")</f>
        <v>合格</v>
      </c>
      <c r="F6" s="2" t="s">
        <v>530</v>
      </c>
    </row>
    <row r="7" customFormat="false" ht="15" hidden="false" customHeight="false" outlineLevel="0" collapsed="false">
      <c r="A7" s="11" t="s">
        <v>531</v>
      </c>
      <c r="B7" s="21" t="n">
        <f aca="false">22064000*EXP(647.096/293.15*(-7.85951783*(1-293.15/647.096)+1.84408259*(1-293.15/647.096)^1.5-11.7866497*(1-293.15/647.096)^3+22.6807411*(1-293.15/647.096)^3.5-15.9618719*(1-293.15/647.096)^4+1.80122502*(1-293.15/647.096)^7.5))</f>
        <v>2339.19373662275</v>
      </c>
      <c r="C7" s="42" t="n">
        <v>2339.3182</v>
      </c>
      <c r="D7" s="22" t="n">
        <f aca="false">IF($C$7=0,ABS($B$7),100*($B$7/$C$7-1))</f>
        <v>-0.00532049796585499</v>
      </c>
      <c r="E7" s="43" t="str">
        <f aca="false">IF(ABS($D$7)&lt;=0.01,"合格","要確認")</f>
        <v>合格</v>
      </c>
      <c r="F7" s="2" t="s">
        <v>530</v>
      </c>
    </row>
    <row r="8" customFormat="false" ht="15" hidden="false" customHeight="false" outlineLevel="0" collapsed="false">
      <c r="A8" s="11" t="s">
        <v>532</v>
      </c>
      <c r="B8" s="21" t="n">
        <f aca="false">22064000*EXP(647.096/303.15*(-7.85951783*(1-303.15/647.096)+1.84408259*(1-303.15/647.096)^1.5-11.7866497*(1-303.15/647.096)^3+22.6807411*(1-303.15/647.096)^3.5-15.9618719*(1-303.15/647.096)^4+1.80122502*(1-303.15/647.096)^7.5))</f>
        <v>4246.91992715212</v>
      </c>
      <c r="C8" s="42" t="n">
        <v>4246.9708</v>
      </c>
      <c r="D8" s="22" t="n">
        <f aca="false">IF($C$8=0,ABS($B$8),100*($B$8/$C$8-1))</f>
        <v>-0.0011978619649633</v>
      </c>
      <c r="E8" s="43" t="str">
        <f aca="false">IF(ABS($D$8)&lt;=0.01,"合格","要確認")</f>
        <v>合格</v>
      </c>
      <c r="F8" s="2" t="s">
        <v>530</v>
      </c>
    </row>
    <row r="9" customFormat="false" ht="15" hidden="false" customHeight="false" outlineLevel="0" collapsed="false">
      <c r="A9" s="11" t="s">
        <v>533</v>
      </c>
      <c r="B9" s="21" t="n">
        <f aca="false">0.000001*(75.188632-565.620467/(273.15/100)+601.464888/(273.15/100)^2-2018.286032/(273.15/100)^3)*1000000</f>
        <v>-150.303868150485</v>
      </c>
      <c r="C9" s="42" t="n">
        <v>-150.3</v>
      </c>
      <c r="D9" s="22" t="n">
        <f aca="false">IF($C$9=0,ABS($B$9),100*($B$9/$C$9-1))</f>
        <v>0.00257361975033454</v>
      </c>
      <c r="E9" s="43" t="str">
        <f aca="false">IF(ABS($D$9)&lt;=0.5,"合格","要確認")</f>
        <v>合格</v>
      </c>
      <c r="F9" s="2" t="s">
        <v>534</v>
      </c>
    </row>
    <row r="10" customFormat="false" ht="15" hidden="false" customHeight="false" outlineLevel="0" collapsed="false">
      <c r="A10" s="11" t="s">
        <v>535</v>
      </c>
      <c r="B10" s="21" t="n">
        <f aca="false">0.000001*(75.188632-565.620467/(293.15/100)+601.464888/(293.15/100)^2-2018.286032/(293.15/100)^3)*1000000</f>
        <v>-127.882855560866</v>
      </c>
      <c r="C10" s="42" t="n">
        <v>-127.88</v>
      </c>
      <c r="D10" s="22" t="n">
        <f aca="false">IF($C$10=0,ABS($B$10),100*($B$10/$C$10-1))</f>
        <v>0.00223300036432672</v>
      </c>
      <c r="E10" s="43" t="str">
        <f aca="false">IF(ABS($D$10)&lt;=0.5,"合格","要確認")</f>
        <v>合格</v>
      </c>
      <c r="F10" s="2" t="s">
        <v>536</v>
      </c>
    </row>
    <row r="11" customFormat="false" ht="15" hidden="false" customHeight="false" outlineLevel="0" collapsed="false">
      <c r="A11" s="11" t="s">
        <v>537</v>
      </c>
      <c r="B11" s="21" t="n">
        <f aca="false">0.000001*(75.188632-565.620467/(323.15/100)+601.464888/(323.15/100)^2-2018.286032/(323.15/100)^3)*1000000</f>
        <v>-102.057009425162</v>
      </c>
      <c r="C11" s="42" t="n">
        <v>-102.06</v>
      </c>
      <c r="D11" s="22" t="n">
        <f aca="false">IF($C$11=0,ABS($B$11),100*($B$11/$C$11-1))</f>
        <v>-0.00293021246130509</v>
      </c>
      <c r="E11" s="43" t="str">
        <f aca="false">IF(ABS($D$11)&lt;=0.5,"合格","要確認")</f>
        <v>合格</v>
      </c>
      <c r="F11" s="2" t="s">
        <v>536</v>
      </c>
    </row>
    <row r="12" customFormat="false" ht="15" hidden="false" customHeight="false" outlineLevel="0" collapsed="false">
      <c r="A12" s="11" t="s">
        <v>538</v>
      </c>
      <c r="B12" s="21" t="n">
        <f aca="false">1+0.000001*(75.188632-565.620467/(293.15/100)+601.464888/(293.15/100)^2-2018.286032/(293.15/100)^3)*101325/(8.31446261815324*293.15)</f>
        <v>0.994683756629832</v>
      </c>
      <c r="C12" s="42" t="n">
        <v>0.994664</v>
      </c>
      <c r="D12" s="22" t="n">
        <f aca="false">IF($C$12=0,ABS($B$12),100*($B$12/$C$12-1))</f>
        <v>0.00198626167544624</v>
      </c>
      <c r="E12" s="43" t="str">
        <f aca="false">IF(ABS($D$12)&lt;=0.05,"合格","要確認")</f>
        <v>合格</v>
      </c>
      <c r="F12" s="2" t="s">
        <v>536</v>
      </c>
    </row>
    <row r="13" customFormat="false" ht="15" hidden="false" customHeight="false" outlineLevel="0" collapsed="false">
      <c r="A13" s="11" t="s">
        <v>539</v>
      </c>
      <c r="B13" s="21" t="n">
        <f aca="false">1+0.000001*(75.188632-565.620467/(293.15/100)+601.464888/(293.15/100)^2-2018.286032/(293.15/100)^3)*250000/(8.31446261815324*293.15)</f>
        <v>0.98688318931614</v>
      </c>
      <c r="C13" s="42" t="n">
        <v>0.986759</v>
      </c>
      <c r="D13" s="22" t="n">
        <f aca="false">IF($C$13=0,ABS($B$13),100*($B$13/$C$13-1))</f>
        <v>0.0125855772422634</v>
      </c>
      <c r="E13" s="43" t="str">
        <f aca="false">IF(ABS($D$13)&lt;=0.05,"合格","要確認")</f>
        <v>合格</v>
      </c>
      <c r="F13" s="2" t="s">
        <v>536</v>
      </c>
    </row>
    <row r="14" customFormat="false" ht="15" hidden="false" customHeight="false" outlineLevel="0" collapsed="false">
      <c r="A14" s="11" t="s">
        <v>540</v>
      </c>
      <c r="B14" s="21" t="n">
        <f aca="false">1+0.000001*(75.188632-565.620467/(293.15/100)+601.464888/(293.15/100)^2-2018.286032/(293.15/100)^3)*400000/(8.31446261815324*293.15)</f>
        <v>0.979013102905824</v>
      </c>
      <c r="C14" s="42" t="n">
        <v>0.978692</v>
      </c>
      <c r="D14" s="22" t="n">
        <f aca="false">IF($C$14=0,ABS($B$14),100*($B$14/$C$14-1))</f>
        <v>0.0328093931312612</v>
      </c>
      <c r="E14" s="43" t="str">
        <f aca="false">IF(ABS($D$14)&lt;=0.1,"合格","要確認")</f>
        <v>合格</v>
      </c>
      <c r="F14" s="2" t="s">
        <v>536</v>
      </c>
    </row>
    <row r="15" customFormat="false" ht="15" hidden="false" customHeight="false" outlineLevel="0" collapsed="false">
      <c r="A15" s="11" t="s">
        <v>541</v>
      </c>
      <c r="B15" s="21" t="n">
        <f aca="false">101325*0.0440095/((1+0.000001*(75.188632-565.620467/(273.15/100)+601.464888/(273.15/100)^2-2018.286032/(273.15/100)^3)*101325/(8.31446261815324*273.15))*8.31446261815324*273.15)</f>
        <v>1.97674096614443</v>
      </c>
      <c r="C15" s="42" t="n">
        <v>1.97681</v>
      </c>
      <c r="D15" s="22" t="n">
        <f aca="false">IF($C$15=0,ABS($B$15),100*($B$15/$C$15-1))</f>
        <v>-0.00349218465969248</v>
      </c>
      <c r="E15" s="43" t="str">
        <f aca="false">IF(ABS($D$15)&lt;=0.05,"合格","要確認")</f>
        <v>合格</v>
      </c>
      <c r="F15" s="2" t="s">
        <v>536</v>
      </c>
    </row>
    <row r="16" customFormat="false" ht="15" hidden="false" customHeight="false" outlineLevel="0" collapsed="false">
      <c r="A16" s="11" t="s">
        <v>542</v>
      </c>
      <c r="B16" s="21" t="n">
        <f aca="false">101325*0.0440095/((1+0.000001*(75.188632-565.620467/(293.15/100)+601.464888/(293.15/100)^2-2018.286032/(293.15/100)^3)*101325/(8.31446261815324*293.15))*8.31446261815324*293.15)</f>
        <v>1.8393057876909</v>
      </c>
      <c r="C16" s="42" t="n">
        <v>1.83934</v>
      </c>
      <c r="D16" s="22" t="n">
        <f aca="false">IF($C$16=0,ABS($B$16),100*($B$16/$C$16-1))</f>
        <v>-0.00186003181059657</v>
      </c>
      <c r="E16" s="43" t="str">
        <f aca="false">IF(ABS($D$16)&lt;=0.05,"合格","要確認")</f>
        <v>合格</v>
      </c>
      <c r="F16" s="2" t="s">
        <v>536</v>
      </c>
    </row>
    <row r="17" customFormat="false" ht="15" hidden="false" customHeight="false" outlineLevel="0" collapsed="false">
      <c r="A17" s="11" t="s">
        <v>543</v>
      </c>
      <c r="B17" s="21" t="n">
        <f aca="false">(20.823075+0.059235957*293.15-0.00000051159127*293.15^2-0.000000048979736*293.15^3-293.15*0.0000000001*(-1131.240934/(293.15/100)^3+3608.789328/(293.15/100)^4-24219.432384/(293.15/100)^5)*101325)</f>
        <v>37.2307397629418</v>
      </c>
      <c r="C17" s="42" t="n">
        <v>37.2347</v>
      </c>
      <c r="D17" s="22" t="n">
        <f aca="false">IF($C$17=0,ABS($B$17),100*($B$17/$C$17-1))</f>
        <v>-0.0106358774428217</v>
      </c>
      <c r="E17" s="43" t="str">
        <f aca="false">IF(ABS($D$17)&lt;=0.1,"合格","要確認")</f>
        <v>合格</v>
      </c>
      <c r="F17" s="2" t="s">
        <v>536</v>
      </c>
    </row>
    <row r="18" customFormat="false" ht="15" hidden="false" customHeight="false" outlineLevel="0" collapsed="false">
      <c r="A18" s="11" t="s">
        <v>544</v>
      </c>
      <c r="B18" s="21" t="n">
        <f aca="false">(20.823075+0.059235957*293.15-0.00000051159127*293.15^2-0.000000048979736*293.15^3-293.15*0.0000000001*(-1131.240934/(293.15/100)^3+3608.789328/(293.15/100)^4-24219.432384/(293.15/100)^5)*250000)</f>
        <v>37.7010502999282</v>
      </c>
      <c r="C18" s="42" t="n">
        <v>37.7264</v>
      </c>
      <c r="D18" s="22" t="n">
        <f aca="false">IF($C$18=0,ABS($B$18),100*($B$18/$C$18-1))</f>
        <v>-0.0671935304504046</v>
      </c>
      <c r="E18" s="43" t="str">
        <f aca="false">IF(ABS($D$18)&lt;=0.2,"合格","要確認")</f>
        <v>合格</v>
      </c>
      <c r="F18" s="2" t="s">
        <v>536</v>
      </c>
    </row>
    <row r="19" customFormat="false" ht="15" hidden="false" customHeight="false" outlineLevel="0" collapsed="false">
      <c r="A19" s="11" t="s">
        <v>545</v>
      </c>
      <c r="B19" s="21" t="n">
        <f aca="false">((20.823075+0.059235957*293.15-0.00000051159127*293.15^2-0.000000048979736*293.15^3-293.15*0.0000000001*(-1131.240934/(293.15/100)^3+3608.789328/(293.15/100)^4-24219.432384/(293.15/100)^5)*101325))/(((20.823075+0.059235957*293.15-0.00000051159127*293.15^2-0.000000048979736*293.15^3)-8.31446261815324-293.15*8.31446261815324*(2*0.00000001*(565.620467/(293.15/100)^2-1202.929776/(293.15/100)^3+6054.858096/(293.15/100)^4)+293.15*0.0000000001*(-1131.240934/(293.15/100)^3+3608.789328/(293.15/100)^4-24219.432384/(293.15/100)^5))*(101325/((1+0.000001*(75.188632-565.620467/(293.15/100)+601.464888/(293.15/100)^2-2018.286032/(293.15/100)^3)*101325/(8.31446261815324*293.15))*8.31446261815324*293.15))))</f>
        <v>1.29659930299373</v>
      </c>
      <c r="C19" s="42" t="n">
        <v>1.29674</v>
      </c>
      <c r="D19" s="22" t="n">
        <f aca="false">IF($C$19=0,ABS($B$19),100*($B$19/$C$19-1))</f>
        <v>-0.0108500552364887</v>
      </c>
      <c r="E19" s="43" t="str">
        <f aca="false">IF(ABS($D$19)&lt;=0.1,"合格","要確認")</f>
        <v>合格</v>
      </c>
      <c r="F19" s="2" t="s">
        <v>536</v>
      </c>
    </row>
    <row r="20" customFormat="false" ht="15" hidden="false" customHeight="false" outlineLevel="0" collapsed="false">
      <c r="A20" s="11" t="s">
        <v>546</v>
      </c>
      <c r="B20" s="21" t="n">
        <f aca="false">((20.823075+0.059235957*293.15-0.00000051159127*293.15^2-0.000000048979736*293.15^3-293.15*0.0000000001*(-1131.240934/(293.15/100)^3+3608.789328/(293.15/100)^4-24219.432384/(293.15/100)^5)*250000))/(((20.823075+0.059235957*293.15-0.00000051159127*293.15^2-0.000000048979736*293.15^3)-8.31446261815324-293.15*8.31446261815324*(2*0.00000001*(565.620467/(293.15/100)^2-1202.929776/(293.15/100)^3+6054.858096/(293.15/100)^4)+293.15*0.0000000001*(-1131.240934/(293.15/100)^3+3608.789328/(293.15/100)^4-24219.432384/(293.15/100)^5))*(250000/((1+0.000001*(75.188632-565.620467/(293.15/100)+601.464888/(293.15/100)^2-2018.286032/(293.15/100)^3)*250000/(8.31446261815324*293.15))*8.31446261815324*293.15))))</f>
        <v>1.30497834459861</v>
      </c>
      <c r="C20" s="42" t="n">
        <v>1.30586</v>
      </c>
      <c r="D20" s="22" t="n">
        <f aca="false">IF($C$20=0,ABS($B$20),100*($B$20/$C$20-1))</f>
        <v>-0.0675153080263446</v>
      </c>
      <c r="E20" s="43" t="str">
        <f aca="false">IF(ABS($D$20)&lt;=0.15,"合格","要確認")</f>
        <v>合格</v>
      </c>
      <c r="F20" s="2" t="s">
        <v>536</v>
      </c>
    </row>
    <row r="21" customFormat="false" ht="15" hidden="false" customHeight="false" outlineLevel="0" collapsed="false">
      <c r="A21" s="11" t="s">
        <v>547</v>
      </c>
      <c r="B21" s="21" t="n">
        <f aca="false">0.00000100697*SQRT(293.15)/EXP(0.235156-0.491266*LN(293.15/251.196)+0.05211155*LN(293.15/251.196)^2+0.05347906*LN(293.15/251.196)^3-0.01537102*LN(293.15/251.196)^4)*1000000</f>
        <v>14.6813370222267</v>
      </c>
      <c r="C21" s="42" t="n">
        <v>14.6748</v>
      </c>
      <c r="D21" s="22" t="n">
        <f aca="false">IF($C$21=0,ABS($B$21),100*($B$21/$C$21-1))</f>
        <v>0.0445459033631801</v>
      </c>
      <c r="E21" s="43" t="str">
        <f aca="false">IF(ABS($D$21)&lt;=0.1,"合格","要確認")</f>
        <v>合格</v>
      </c>
      <c r="F21" s="2" t="s">
        <v>548</v>
      </c>
    </row>
    <row r="22" customFormat="false" ht="15" hidden="false" customHeight="false" outlineLevel="0" collapsed="false">
      <c r="A22" s="11" t="s">
        <v>549</v>
      </c>
      <c r="B22" s="21" t="n">
        <f aca="false">0.00000100697*SQRT(273.15)/EXP(0.235156-0.491266*LN(273.15/251.196)+0.05211155*LN(273.15/251.196)^2+0.05347906*LN(273.15/251.196)^3-0.01537102*LN(273.15/251.196)^4)*1000000</f>
        <v>13.7023290061876</v>
      </c>
      <c r="C22" s="42" t="n">
        <v>13.7093</v>
      </c>
      <c r="D22" s="22" t="n">
        <f aca="false">IF($C$22=0,ABS($B$22),100*($B$22/$C$22-1))</f>
        <v>-0.0508486488182802</v>
      </c>
      <c r="E22" s="43" t="str">
        <f aca="false">IF(ABS($D$22)&lt;=0.15,"合格","要確認")</f>
        <v>合格</v>
      </c>
      <c r="F22" s="2" t="s">
        <v>550</v>
      </c>
    </row>
    <row r="23" customFormat="false" ht="15" hidden="false" customHeight="false" outlineLevel="0" collapsed="false">
      <c r="A23" s="11" t="s">
        <v>551</v>
      </c>
      <c r="B23" s="21" t="n">
        <f aca="false">0.001*(-2.8088692+0.053424539*293.15+0.000038923913*293.15^2)*1000</f>
        <v>16.1975357027277</v>
      </c>
      <c r="C23" s="42" t="n">
        <v>16.2505</v>
      </c>
      <c r="D23" s="22" t="n">
        <f aca="false">IF($C$23=0,ABS($B$23),100*($B$23/$C$23-1))</f>
        <v>-0.325924108625919</v>
      </c>
      <c r="E23" s="43" t="str">
        <f aca="false">IF(ABS($D$23)&lt;=0.5,"合格","要確認")</f>
        <v>合格</v>
      </c>
      <c r="F23" s="2" t="s">
        <v>552</v>
      </c>
    </row>
    <row r="24" customFormat="false" ht="15" hidden="false" customHeight="false" outlineLevel="0" collapsed="false">
      <c r="A24" s="11" t="s">
        <v>553</v>
      </c>
      <c r="B24" s="21" t="n">
        <f aca="false">((293.15*0.00000001*(565.620467/(293.15/100)^2-1202.929776/(293.15/100)^3+6054.858096/(293.15/100)^4))-(0.000001*(75.188632-565.620467/(293.15/100)+601.464888/(293.15/100)^2-2018.286032/(293.15/100)^3)))/(20.823075+0.059235957*293.15-0.00000051159127*293.15^2-0.000000048979736*293.15^3)*100000</f>
        <v>1.14113381493997</v>
      </c>
      <c r="C24" s="42" t="n">
        <v>1.1417</v>
      </c>
      <c r="D24" s="22" t="n">
        <f aca="false">IF($C$24=0,ABS($B$24),100*($B$24/$C$24-1))</f>
        <v>-0.0495914040492873</v>
      </c>
      <c r="E24" s="43" t="str">
        <f aca="false">IF(ABS($D$24)&lt;=1,"合格","要確認")</f>
        <v>合格</v>
      </c>
      <c r="F24" s="2" t="s">
        <v>554</v>
      </c>
    </row>
    <row r="25" customFormat="false" ht="15" hidden="false" customHeight="false" outlineLevel="0" collapsed="false">
      <c r="A25" s="9" t="s">
        <v>555</v>
      </c>
      <c r="B25" s="21" t="n">
        <f aca="false">SQRT(((20.823075+0.059235957*293.15-0.00000051159127*293.15^2-0.000000048979736*293.15^3-293.15*0.0000000001*(-1131.240934/(293.15/100)^3+3608.789328/(293.15/100)^4-24219.432384/(293.15/100)^5)*101325))/(((20.823075+0.059235957*293.15-0.00000051159127*293.15^2-0.000000048979736*293.15^3)-8.31446261815324-293.15*8.31446261815324*(2*0.00000001*(565.620467/(293.15/100)^2-1202.929776/(293.15/100)^3+6054.858096/(293.15/100)^4)+293.15*0.0000000001*(-1131.240934/(293.15/100)^3+3608.789328/(293.15/100)^4-24219.432384/(293.15/100)^5))*(101325/((1+0.000001*(75.188632-565.620467/(293.15/100)+601.464888/(293.15/100)^2-2018.286032/(293.15/100)^3)*101325/(8.31446261815324*293.15))*8.31446261815324*293.15))))*8.31446261815324*293.15*(1+2*(0.000001*(75.188632-565.620467/(293.15/100)+601.464888/(293.15/100)^2-2018.286032/(293.15/100)^3))*101325/((1+0.000001*(75.188632-565.620467/(293.15/100)+601.464888/(293.15/100)^2-2018.286032/(293.15/100)^3)*101325/(8.31446261815324*293.15))*8.31446261815324*293.15))/0.0440095)</f>
        <v>266.537344510803</v>
      </c>
      <c r="C25" s="42" t="n">
        <v>266.556</v>
      </c>
      <c r="D25" s="22" t="n">
        <f aca="false">IF($C$25=0,ABS($B$25),100*($B$25/$C$25-1))</f>
        <v>-0.00699871291470755</v>
      </c>
      <c r="E25" s="43" t="str">
        <f aca="false">IF(ABS($D$25)&lt;=0.1,"合格","要確認")</f>
        <v>合格</v>
      </c>
      <c r="F25" s="2" t="s">
        <v>536</v>
      </c>
    </row>
    <row r="26" customFormat="false" ht="15" hidden="false" customHeight="false" outlineLevel="0" collapsed="false">
      <c r="A26" s="11" t="s">
        <v>556</v>
      </c>
      <c r="B26" s="21" t="n">
        <f aca="false">(22064000*EXP(647.096/293.15*(-7.85951783*(1-293.15/647.096)+1.84408259*(1-293.15/647.096)^1.5-11.7866497*(1-293.15/647.096)^3+22.6807411*(1-293.15/647.096)^3.5-15.9618719*(1-293.15/647.096)^4+1.80122502*(1-293.15/647.096)^7.5)))*EXP(-8.55445/(293.15/647.096)+4.01195*(1-(293.15/647.096))^0.355/(293.15/647.096)+9.52345*(293.15/647.096)^-0.41*EXP(1-(293.15/647.096)))/1000000</f>
        <v>144.888590898551</v>
      </c>
      <c r="C26" s="42" t="n">
        <v>145</v>
      </c>
      <c r="D26" s="22" t="n">
        <f aca="false">IF($C$26=0,ABS($B$26),100*($B$26/$C$26-1))</f>
        <v>-0.0768338630680598</v>
      </c>
      <c r="E26" s="43" t="str">
        <f aca="false">IF(ABS($D$26)&lt;=1,"合格","要確認")</f>
        <v>合格</v>
      </c>
      <c r="F26" s="2" t="s">
        <v>557</v>
      </c>
    </row>
    <row r="27" customFormat="false" ht="15" hidden="false" customHeight="false" outlineLevel="0" collapsed="false">
      <c r="A27" s="11" t="s">
        <v>558</v>
      </c>
      <c r="B27" s="21" t="n">
        <f aca="false">0.000001*(-236.26407+204871.53/293.15-59999434/293.15^2)*1000000</f>
        <v>-235.58153427736</v>
      </c>
      <c r="C27" s="42" t="n">
        <v>-235.5</v>
      </c>
      <c r="D27" s="22" t="n">
        <f aca="false">IF($C$27=0,ABS($B$27),100*($B$27/$C$27-1))</f>
        <v>0.0346217738259158</v>
      </c>
      <c r="E27" s="43" t="str">
        <f aca="false">IF(ABS($D$27)&lt;=2,"合格","要確認")</f>
        <v>合格</v>
      </c>
      <c r="F27" s="2" t="s">
        <v>142</v>
      </c>
    </row>
    <row r="28" customFormat="false" ht="15" hidden="false" customHeight="false" outlineLevel="0" collapsed="false">
      <c r="A28" s="9" t="s">
        <v>559</v>
      </c>
      <c r="B28" s="21" t="n">
        <f aca="false">1000*(((207.98233-20.156028*LN(22064000*EXP(647.096/293.15*(-7.85951783*(1-293.15/647.096)+1.84408259*(1-293.15/647.096)^1.5-11.7866497*(1-293.15/647.096)^3+22.6807411*(1-293.15/647.096)^3.5-15.9618719*(1-293.15/647.096)^4+1.80122502*(1-293.15/647.096)^7.5)))+0.46778925*LN(22064000*EXP(647.096/293.15*(-7.85951783*(1-293.15/647.096)+1.84408259*(1-293.15/647.096)^1.5-11.7866497*(1-293.15/647.096)^3+22.6807411*(1-293.15/647.096)^3.5-15.9618719*(1-293.15/647.096)^4+1.80122502*(1-293.15/647.096)^7.5)))^2-0.0000092288067*LN(22064000*EXP(647.096/293.15*(-7.85951783*(1-293.15/647.096)+1.84408259*(1-293.15/647.096)^1.5-11.7866497*(1-293.15/647.096)^3+22.6807411*(1-293.15/647.096)^3.5-15.9618719*(1-293.15/647.096)^4+1.80122502*(1-293.15/647.096)^7.5)))^3)/(1-0.13319669*LN(22064000*EXP(647.096/293.15*(-7.85951783*(1-293.15/647.096)+1.84408259*(1-293.15/647.096)^1.5-11.7866497*(1-293.15/647.096)^3+22.6807411*(1-293.15/647.096)^3.5-15.9618719*(1-293.15/647.096)^4+1.80122502*(1-293.15/647.096)^7.5)))+0.0056577518*LN(22064000*EXP(647.096/293.15*(-7.85951783*(1-293.15/647.096)+1.84408259*(1-293.15/647.096)^1.5-11.7866497*(1-293.15/647.096)^3+22.6807411*(1-293.15/647.096)^3.5-15.9618719*(1-293.15/647.096)^4+1.80122502*(1-293.15/647.096)^7.5)))^2-0.000075172865*LN(22064000*EXP(647.096/293.15*(-7.85951783*(1-293.15/647.096)+1.84408259*(1-293.15/647.096)^1.5-11.7866497*(1-293.15/647.096)^3+22.6807411*(1-293.15/647.096)^3.5-15.9618719*(1-293.15/647.096)^4+1.80122502*(1-293.15/647.096)^7.5)))^3))-293.15)</f>
        <v>-0.466062756061092</v>
      </c>
      <c r="C28" s="42" t="n">
        <v>0</v>
      </c>
      <c r="D28" s="22" t="n">
        <f aca="false">IF($C$28=0,ABS($B$28),100*($B$28/$C$28-1))</f>
        <v>0.466062756061092</v>
      </c>
      <c r="E28" s="43" t="str">
        <f aca="false">IF(ABS($D$28)&lt;=99,"合格","要確認")</f>
        <v>合格</v>
      </c>
      <c r="F28" s="2" t="s">
        <v>560</v>
      </c>
    </row>
    <row r="29" customFormat="false" ht="15" hidden="false" customHeight="false" outlineLevel="0" collapsed="false">
      <c r="A29" s="11" t="s">
        <v>561</v>
      </c>
      <c r="B29" s="21" t="n">
        <f aca="false">0.018015268/0.0440095</f>
        <v>0.409349526806712</v>
      </c>
      <c r="C29" s="42" t="n">
        <v>0.40935</v>
      </c>
      <c r="D29" s="22" t="n">
        <f aca="false">IF($C$29=0,ABS($B$29),100*($B$29/$C$29-1))</f>
        <v>-0.000115596259375739</v>
      </c>
      <c r="E29" s="43" t="str">
        <f aca="false">IF(ABS($D$29)&lt;=0.01,"合格","要確認")</f>
        <v>合格</v>
      </c>
      <c r="F29" s="2" t="s">
        <v>562</v>
      </c>
    </row>
    <row r="30" customFormat="false" ht="15" hidden="false" customHeight="false" outlineLevel="0" collapsed="false">
      <c r="A30" s="11" t="s">
        <v>563</v>
      </c>
      <c r="B30" s="21" t="n">
        <f aca="false">8.31446261815324*273.15/101325*1000</f>
        <v>22.4139695450141</v>
      </c>
      <c r="C30" s="42" t="n">
        <v>22.41397</v>
      </c>
      <c r="D30" s="22" t="n">
        <f aca="false">IF($C$30=0,ABS($B$30),100*($B$30/$C$30-1))</f>
        <v>-2.029920898039E-006</v>
      </c>
      <c r="E30" s="43" t="str">
        <f aca="false">IF(ABS($D$30)&lt;=0.01,"合格","要確認")</f>
        <v>合格</v>
      </c>
      <c r="F30" s="2" t="s">
        <v>564</v>
      </c>
    </row>
    <row r="31" customFormat="false" ht="15" hidden="false" customHeight="false" outlineLevel="0" collapsed="false">
      <c r="A31" s="11" t="s">
        <v>565</v>
      </c>
      <c r="B31" s="21" t="n">
        <f aca="false">8.31446261815324*293.15/101325*1000</f>
        <v>24.0551168666333</v>
      </c>
      <c r="C31" s="42" t="n">
        <v>24.05512</v>
      </c>
      <c r="D31" s="22" t="n">
        <f aca="false">IF($C$31=0,ABS($B$31),100*($B$31/$C$31-1))</f>
        <v>-1.30257785779797E-005</v>
      </c>
      <c r="E31" s="43" t="str">
        <f aca="false">IF(ABS($D$31)&lt;=0.01,"合格","要確認")</f>
        <v>合格</v>
      </c>
      <c r="F31" s="6" t="s">
        <v>566</v>
      </c>
    </row>
    <row r="33" customFormat="false" ht="15" hidden="false" customHeight="false" outlineLevel="0" collapsed="false">
      <c r="A33" s="3" t="s">
        <v>567</v>
      </c>
      <c r="B33" s="34" t="str">
        <f aca="false">IF(COUNTIF($E$5:$E$31,"要確認")=0,"全項目 合格",COUNTIF($E$5:$E$31,"要確認")&amp;" 項目が要確認")</f>
        <v>全項目 合格</v>
      </c>
    </row>
    <row r="35" customFormat="false" ht="15" hidden="false" customHeight="false" outlineLevel="0" collapsed="false">
      <c r="A35" s="6" t="s">
        <v>568</v>
      </c>
    </row>
    <row r="36" customFormat="false" ht="15" hidden="false" customHeight="false" outlineLevel="0" collapsed="false">
      <c r="A36" s="2" t="s">
        <v>569</v>
      </c>
    </row>
    <row r="37" customFormat="false" ht="15" hidden="false" customHeight="false" outlineLevel="0" collapsed="false">
      <c r="A37" s="2" t="s">
        <v>570</v>
      </c>
    </row>
    <row r="38" customFormat="false" ht="15" hidden="false" customHeight="false" outlineLevel="0" collapsed="false">
      <c r="A38" s="6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4"/>
    <col collapsed="false" customWidth="true" hidden="false" outlineLevel="0" max="4" min="4" style="0" width="34"/>
  </cols>
  <sheetData>
    <row r="1" customFormat="false" ht="19.4" hidden="false" customHeight="false" outlineLevel="0" collapsed="false">
      <c r="A1" s="1" t="s">
        <v>572</v>
      </c>
    </row>
    <row r="3" customFormat="false" ht="15" hidden="false" customHeight="false" outlineLevel="0" collapsed="false">
      <c r="A3" s="17" t="s">
        <v>573</v>
      </c>
      <c r="B3" s="26" t="s">
        <v>574</v>
      </c>
      <c r="C3" s="26" t="s">
        <v>575</v>
      </c>
      <c r="D3" s="17" t="s">
        <v>576</v>
      </c>
    </row>
    <row r="4" customFormat="false" ht="25.5" hidden="false" customHeight="true" outlineLevel="0" collapsed="false">
      <c r="A4" s="9" t="n">
        <v>1</v>
      </c>
      <c r="B4" s="9" t="s">
        <v>577</v>
      </c>
      <c r="C4" s="5" t="s">
        <v>578</v>
      </c>
      <c r="D4" s="2" t="s">
        <v>579</v>
      </c>
    </row>
    <row r="5" customFormat="false" ht="25.5" hidden="false" customHeight="true" outlineLevel="0" collapsed="false">
      <c r="A5" s="9" t="n">
        <v>2</v>
      </c>
      <c r="B5" s="11" t="s">
        <v>580</v>
      </c>
      <c r="C5" s="5" t="s">
        <v>581</v>
      </c>
      <c r="D5" s="2" t="s">
        <v>582</v>
      </c>
    </row>
    <row r="6" customFormat="false" ht="25.5" hidden="false" customHeight="true" outlineLevel="0" collapsed="false">
      <c r="A6" s="9" t="n">
        <v>3</v>
      </c>
      <c r="B6" s="11" t="s">
        <v>583</v>
      </c>
      <c r="C6" s="5" t="s">
        <v>584</v>
      </c>
      <c r="D6" s="2" t="s">
        <v>585</v>
      </c>
    </row>
    <row r="7" customFormat="false" ht="25.5" hidden="false" customHeight="true" outlineLevel="0" collapsed="false">
      <c r="A7" s="9" t="n">
        <v>4</v>
      </c>
      <c r="B7" s="11" t="s">
        <v>583</v>
      </c>
      <c r="C7" s="5" t="s">
        <v>586</v>
      </c>
      <c r="D7" s="2" t="s">
        <v>587</v>
      </c>
    </row>
    <row r="8" customFormat="false" ht="25.5" hidden="false" customHeight="true" outlineLevel="0" collapsed="false">
      <c r="A8" s="9" t="n">
        <v>5</v>
      </c>
      <c r="B8" s="11" t="s">
        <v>588</v>
      </c>
      <c r="C8" s="5" t="s">
        <v>589</v>
      </c>
      <c r="D8" s="2" t="s">
        <v>590</v>
      </c>
    </row>
    <row r="9" customFormat="false" ht="25.5" hidden="false" customHeight="true" outlineLevel="0" collapsed="false">
      <c r="A9" s="9" t="n">
        <v>6</v>
      </c>
      <c r="B9" s="9" t="s">
        <v>591</v>
      </c>
      <c r="C9" s="5" t="s">
        <v>592</v>
      </c>
      <c r="D9" s="2" t="s">
        <v>593</v>
      </c>
    </row>
    <row r="10" customFormat="false" ht="25.5" hidden="false" customHeight="true" outlineLevel="0" collapsed="false">
      <c r="A10" s="9" t="n">
        <v>7</v>
      </c>
      <c r="B10" s="9" t="s">
        <v>594</v>
      </c>
      <c r="C10" s="5" t="s">
        <v>595</v>
      </c>
      <c r="D10" s="2" t="s">
        <v>596</v>
      </c>
    </row>
    <row r="11" customFormat="false" ht="25.5" hidden="false" customHeight="true" outlineLevel="0" collapsed="false">
      <c r="A11" s="9" t="n">
        <v>8</v>
      </c>
      <c r="B11" s="9" t="s">
        <v>597</v>
      </c>
      <c r="C11" s="5" t="s">
        <v>598</v>
      </c>
      <c r="D11" s="2" t="s">
        <v>599</v>
      </c>
    </row>
    <row r="12" customFormat="false" ht="25.5" hidden="false" customHeight="true" outlineLevel="0" collapsed="false">
      <c r="A12" s="9" t="n">
        <v>9</v>
      </c>
      <c r="B12" s="9" t="s">
        <v>600</v>
      </c>
      <c r="C12" s="5" t="s">
        <v>601</v>
      </c>
      <c r="D12" s="2" t="s">
        <v>517</v>
      </c>
    </row>
    <row r="13" customFormat="false" ht="25.5" hidden="false" customHeight="true" outlineLevel="0" collapsed="false">
      <c r="A13" s="9" t="n">
        <v>10</v>
      </c>
      <c r="B13" s="9" t="s">
        <v>600</v>
      </c>
      <c r="C13" s="5" t="s">
        <v>602</v>
      </c>
      <c r="D13" s="2" t="s">
        <v>517</v>
      </c>
    </row>
    <row r="14" customFormat="false" ht="25.5" hidden="false" customHeight="true" outlineLevel="0" collapsed="false">
      <c r="A14" s="9" t="n">
        <v>11</v>
      </c>
      <c r="B14" s="11" t="s">
        <v>603</v>
      </c>
      <c r="C14" s="5" t="s">
        <v>604</v>
      </c>
      <c r="D14" s="2" t="s">
        <v>605</v>
      </c>
    </row>
    <row r="15" customFormat="false" ht="25.5" hidden="false" customHeight="true" outlineLevel="0" collapsed="false">
      <c r="A15" s="9" t="n">
        <v>12</v>
      </c>
      <c r="B15" s="11" t="s">
        <v>603</v>
      </c>
      <c r="C15" s="5" t="s">
        <v>606</v>
      </c>
      <c r="D15" s="2" t="s">
        <v>607</v>
      </c>
    </row>
    <row r="16" customFormat="false" ht="25.5" hidden="false" customHeight="true" outlineLevel="0" collapsed="false">
      <c r="A16" s="9" t="n">
        <v>13</v>
      </c>
      <c r="B16" s="11" t="s">
        <v>603</v>
      </c>
      <c r="C16" s="5" t="s">
        <v>608</v>
      </c>
      <c r="D16" s="2" t="s">
        <v>609</v>
      </c>
    </row>
    <row r="17" customFormat="false" ht="25.5" hidden="false" customHeight="true" outlineLevel="0" collapsed="false">
      <c r="A17" s="9" t="n">
        <v>14</v>
      </c>
      <c r="B17" s="9" t="s">
        <v>610</v>
      </c>
      <c r="C17" s="5" t="s">
        <v>611</v>
      </c>
      <c r="D17" s="2" t="s">
        <v>612</v>
      </c>
    </row>
    <row r="18" customFormat="false" ht="25.5" hidden="false" customHeight="true" outlineLevel="0" collapsed="false">
      <c r="A18" s="9" t="n">
        <v>15</v>
      </c>
      <c r="B18" s="9" t="s">
        <v>610</v>
      </c>
      <c r="C18" s="5" t="s">
        <v>613</v>
      </c>
      <c r="D18" s="2" t="s">
        <v>614</v>
      </c>
    </row>
    <row r="19" customFormat="false" ht="25.5" hidden="false" customHeight="true" outlineLevel="0" collapsed="false">
      <c r="A19" s="9" t="n">
        <v>16</v>
      </c>
      <c r="B19" s="9" t="s">
        <v>615</v>
      </c>
      <c r="C19" s="5" t="s">
        <v>616</v>
      </c>
      <c r="D19" s="2" t="s">
        <v>617</v>
      </c>
    </row>
    <row r="20" customFormat="false" ht="25.5" hidden="false" customHeight="true" outlineLevel="0" collapsed="false">
      <c r="A20" s="9" t="n">
        <v>17</v>
      </c>
      <c r="B20" s="9" t="s">
        <v>618</v>
      </c>
      <c r="C20" s="5" t="s">
        <v>619</v>
      </c>
      <c r="D20" s="2" t="s">
        <v>620</v>
      </c>
    </row>
    <row r="21" customFormat="false" ht="25.5" hidden="false" customHeight="true" outlineLevel="0" collapsed="false">
      <c r="A21" s="9" t="n">
        <v>18</v>
      </c>
      <c r="B21" s="9" t="s">
        <v>618</v>
      </c>
      <c r="C21" s="5" t="s">
        <v>621</v>
      </c>
      <c r="D21" s="2" t="s">
        <v>622</v>
      </c>
    </row>
    <row r="22" customFormat="false" ht="25.5" hidden="false" customHeight="true" outlineLevel="0" collapsed="false">
      <c r="A22" s="9" t="n">
        <v>19</v>
      </c>
      <c r="B22" s="11" t="s">
        <v>623</v>
      </c>
      <c r="C22" s="5" t="s">
        <v>624</v>
      </c>
      <c r="D22" s="2" t="s">
        <v>625</v>
      </c>
    </row>
    <row r="23" customFormat="false" ht="25.5" hidden="false" customHeight="true" outlineLevel="0" collapsed="false">
      <c r="A23" s="9" t="n">
        <v>20</v>
      </c>
      <c r="B23" s="9" t="s">
        <v>626</v>
      </c>
      <c r="C23" s="5" t="s">
        <v>627</v>
      </c>
      <c r="D23" s="2" t="s">
        <v>517</v>
      </c>
    </row>
    <row r="24" customFormat="false" ht="25.5" hidden="false" customHeight="true" outlineLevel="0" collapsed="false">
      <c r="A24" s="9" t="n">
        <v>21</v>
      </c>
      <c r="B24" s="9" t="s">
        <v>628</v>
      </c>
      <c r="C24" s="5" t="s">
        <v>629</v>
      </c>
      <c r="D24" s="2" t="s">
        <v>630</v>
      </c>
    </row>
    <row r="25" customFormat="false" ht="25.5" hidden="false" customHeight="true" outlineLevel="0" collapsed="false">
      <c r="A25" s="9" t="n">
        <v>22</v>
      </c>
      <c r="B25" s="9" t="s">
        <v>631</v>
      </c>
      <c r="C25" s="5" t="s">
        <v>632</v>
      </c>
      <c r="D25" s="2" t="s">
        <v>633</v>
      </c>
    </row>
    <row r="26" customFormat="false" ht="25.5" hidden="false" customHeight="true" outlineLevel="0" collapsed="false">
      <c r="A26" s="9" t="n">
        <v>23</v>
      </c>
      <c r="B26" s="9" t="s">
        <v>634</v>
      </c>
      <c r="C26" s="5" t="s">
        <v>635</v>
      </c>
      <c r="D26" s="2" t="s">
        <v>636</v>
      </c>
    </row>
    <row r="27" customFormat="false" ht="25.5" hidden="false" customHeight="true" outlineLevel="0" collapsed="false">
      <c r="A27" s="9" t="n">
        <v>24</v>
      </c>
      <c r="B27" s="11" t="s">
        <v>637</v>
      </c>
      <c r="C27" s="5" t="s">
        <v>638</v>
      </c>
      <c r="D27" s="2" t="s">
        <v>639</v>
      </c>
    </row>
    <row r="28" customFormat="false" ht="25.5" hidden="false" customHeight="true" outlineLevel="0" collapsed="false">
      <c r="A28" s="9" t="n">
        <v>25</v>
      </c>
      <c r="B28" s="9" t="s">
        <v>640</v>
      </c>
      <c r="C28" s="5" t="s">
        <v>641</v>
      </c>
      <c r="D28" s="2" t="s">
        <v>642</v>
      </c>
    </row>
    <row r="29" customFormat="false" ht="25.5" hidden="false" customHeight="true" outlineLevel="0" collapsed="false">
      <c r="A29" s="9" t="n">
        <v>26</v>
      </c>
      <c r="B29" s="9" t="s">
        <v>643</v>
      </c>
      <c r="C29" s="5" t="s">
        <v>644</v>
      </c>
      <c r="D29" s="2" t="s">
        <v>517</v>
      </c>
    </row>
    <row r="30" customFormat="false" ht="25.5" hidden="false" customHeight="true" outlineLevel="0" collapsed="false">
      <c r="A30" s="9" t="n">
        <v>27</v>
      </c>
      <c r="B30" s="9" t="s">
        <v>643</v>
      </c>
      <c r="C30" s="5" t="s">
        <v>645</v>
      </c>
      <c r="D30" s="2" t="s">
        <v>646</v>
      </c>
    </row>
    <row r="31" customFormat="false" ht="25.5" hidden="false" customHeight="true" outlineLevel="0" collapsed="false">
      <c r="A31" s="9" t="n">
        <v>28</v>
      </c>
      <c r="B31" s="9" t="s">
        <v>647</v>
      </c>
      <c r="C31" s="5" t="s">
        <v>648</v>
      </c>
      <c r="D31" s="2" t="s">
        <v>517</v>
      </c>
    </row>
    <row r="32" customFormat="false" ht="25.5" hidden="false" customHeight="true" outlineLevel="0" collapsed="false">
      <c r="A32" s="9" t="n">
        <v>29</v>
      </c>
      <c r="B32" s="9" t="s">
        <v>647</v>
      </c>
      <c r="C32" s="5" t="s">
        <v>649</v>
      </c>
      <c r="D32" s="2" t="s">
        <v>650</v>
      </c>
    </row>
    <row r="33" customFormat="false" ht="25.5" hidden="false" customHeight="true" outlineLevel="0" collapsed="false">
      <c r="A33" s="9" t="n">
        <v>30</v>
      </c>
      <c r="B33" s="9" t="s">
        <v>651</v>
      </c>
      <c r="C33" s="5" t="s">
        <v>652</v>
      </c>
      <c r="D33" s="2" t="s">
        <v>653</v>
      </c>
    </row>
    <row r="34" customFormat="false" ht="25.5" hidden="false" customHeight="true" outlineLevel="0" collapsed="false">
      <c r="A34" s="9" t="n">
        <v>31</v>
      </c>
      <c r="B34" s="9" t="s">
        <v>654</v>
      </c>
      <c r="C34" s="5" t="s">
        <v>655</v>
      </c>
      <c r="D34" s="2" t="s">
        <v>656</v>
      </c>
    </row>
    <row r="35" customFormat="false" ht="25.5" hidden="false" customHeight="true" outlineLevel="0" collapsed="false">
      <c r="A35" s="9" t="n">
        <v>32</v>
      </c>
      <c r="B35" s="9" t="s">
        <v>657</v>
      </c>
      <c r="C35" s="5" t="s">
        <v>658</v>
      </c>
      <c r="D35" s="2" t="s">
        <v>659</v>
      </c>
    </row>
    <row r="36" customFormat="false" ht="25.5" hidden="false" customHeight="true" outlineLevel="0" collapsed="false">
      <c r="A36" s="9" t="n">
        <v>33</v>
      </c>
      <c r="B36" s="9" t="s">
        <v>657</v>
      </c>
      <c r="C36" s="5" t="s">
        <v>660</v>
      </c>
      <c r="D36" s="2" t="s">
        <v>661</v>
      </c>
    </row>
    <row r="37" customFormat="false" ht="25.5" hidden="false" customHeight="true" outlineLevel="0" collapsed="false">
      <c r="A37" s="9" t="n">
        <v>34</v>
      </c>
      <c r="B37" s="9" t="s">
        <v>662</v>
      </c>
      <c r="C37" s="5" t="s">
        <v>663</v>
      </c>
      <c r="D37" s="2" t="s">
        <v>664</v>
      </c>
    </row>
    <row r="38" customFormat="false" ht="25.5" hidden="false" customHeight="true" outlineLevel="0" collapsed="false">
      <c r="A38" s="9" t="n">
        <v>35</v>
      </c>
      <c r="B38" s="11" t="s">
        <v>665</v>
      </c>
      <c r="C38" s="5" t="s">
        <v>666</v>
      </c>
      <c r="D38" s="2" t="s">
        <v>667</v>
      </c>
    </row>
    <row r="39" customFormat="false" ht="25.5" hidden="false" customHeight="true" outlineLevel="0" collapsed="false">
      <c r="A39" s="9" t="n">
        <v>36</v>
      </c>
      <c r="B39" s="11" t="s">
        <v>668</v>
      </c>
      <c r="C39" s="5" t="s">
        <v>669</v>
      </c>
      <c r="D39" s="2" t="s">
        <v>670</v>
      </c>
    </row>
    <row r="40" customFormat="false" ht="25.5" hidden="false" customHeight="true" outlineLevel="0" collapsed="false">
      <c r="A40" s="9" t="n">
        <v>37</v>
      </c>
      <c r="B40" s="9" t="s">
        <v>671</v>
      </c>
      <c r="C40" s="5" t="s">
        <v>672</v>
      </c>
      <c r="D40" s="2" t="s">
        <v>673</v>
      </c>
    </row>
    <row r="41" customFormat="false" ht="25.5" hidden="false" customHeight="true" outlineLevel="0" collapsed="false">
      <c r="A41" s="9" t="n">
        <v>38</v>
      </c>
      <c r="B41" s="11" t="s">
        <v>674</v>
      </c>
      <c r="C41" s="5" t="s">
        <v>675</v>
      </c>
      <c r="D41" s="2" t="s">
        <v>676</v>
      </c>
    </row>
    <row r="42" customFormat="false" ht="25.5" hidden="false" customHeight="true" outlineLevel="0" collapsed="false">
      <c r="A42" s="9" t="n">
        <v>39</v>
      </c>
      <c r="B42" s="11" t="s">
        <v>677</v>
      </c>
      <c r="C42" s="5" t="s">
        <v>678</v>
      </c>
      <c r="D42" s="2" t="s">
        <v>679</v>
      </c>
    </row>
    <row r="43" customFormat="false" ht="25.5" hidden="false" customHeight="true" outlineLevel="0" collapsed="false">
      <c r="A43" s="9" t="n">
        <v>40</v>
      </c>
      <c r="B43" s="11" t="s">
        <v>680</v>
      </c>
      <c r="C43" s="5" t="s">
        <v>681</v>
      </c>
      <c r="D43" s="2" t="s">
        <v>517</v>
      </c>
    </row>
    <row r="44" customFormat="false" ht="25.5" hidden="false" customHeight="true" outlineLevel="0" collapsed="false">
      <c r="A44" s="9" t="n">
        <v>41</v>
      </c>
      <c r="B44" s="11" t="s">
        <v>680</v>
      </c>
      <c r="C44" s="5" t="s">
        <v>682</v>
      </c>
      <c r="D44" s="2" t="s">
        <v>683</v>
      </c>
    </row>
    <row r="45" customFormat="false" ht="25.5" hidden="false" customHeight="true" outlineLevel="0" collapsed="false">
      <c r="A45" s="9" t="n">
        <v>42</v>
      </c>
      <c r="B45" s="9" t="s">
        <v>684</v>
      </c>
      <c r="C45" s="5" t="s">
        <v>685</v>
      </c>
      <c r="D45" s="2" t="s">
        <v>686</v>
      </c>
    </row>
    <row r="46" customFormat="false" ht="25.5" hidden="false" customHeight="true" outlineLevel="0" collapsed="false">
      <c r="A46" s="9" t="n">
        <v>43</v>
      </c>
      <c r="B46" s="9" t="s">
        <v>687</v>
      </c>
      <c r="C46" s="5" t="s">
        <v>688</v>
      </c>
      <c r="D46" s="2" t="s">
        <v>689</v>
      </c>
    </row>
    <row r="47" customFormat="false" ht="25.5" hidden="false" customHeight="true" outlineLevel="0" collapsed="false">
      <c r="A47" s="9" t="n">
        <v>44</v>
      </c>
      <c r="B47" s="9" t="s">
        <v>690</v>
      </c>
      <c r="C47" s="5" t="s">
        <v>691</v>
      </c>
      <c r="D47" s="2" t="s">
        <v>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2026-09-20T13:26:44Z</dcterms:created>
  <dc:creator>openpyxl</dc:creator>
  <dc:description/>
  <dc:language>en-US</dc:language>
  <cp:lastModifiedBy/>
  <dcterms:modified xsi:type="dcterms:W3CDTF">2026-09-20T13:26:44Z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